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Q 2026\VARIOS\"/>
    </mc:Choice>
  </mc:AlternateContent>
  <xr:revisionPtr revIDLastSave="0" documentId="8_{DBBBC0B9-919D-4C4A-A5AE-B632F1CAE580}" xr6:coauthVersionLast="47" xr6:coauthVersionMax="47" xr10:uidLastSave="{00000000-0000-0000-0000-000000000000}"/>
  <bookViews>
    <workbookView xWindow="-120" yWindow="-120" windowWidth="29040" windowHeight="15720" xr2:uid="{BBDAC778-32B0-4C3A-854A-D812CC929EC0}"/>
  </bookViews>
  <sheets>
    <sheet name="REPORTE DE FACTURAS INGRESO" sheetId="4" r:id="rId1"/>
    <sheet name="SEMAFORO" sheetId="3" r:id="rId2"/>
    <sheet name="DESCARGO AGOSTO 2026 " sheetId="2" r:id="rId3"/>
  </sheets>
  <definedNames>
    <definedName name="_xlnm._FilterDatabase" localSheetId="2" hidden="1">'DESCARGO AGOSTO 2026 '!$A$1:$AF$218</definedName>
    <definedName name="_xlnm._FilterDatabase" localSheetId="1" hidden="1">SEMAFORO!$A$5:$I$119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4" l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119" i="3" l="1"/>
  <c r="AA218" i="2"/>
  <c r="Z218" i="2"/>
  <c r="AA217" i="2"/>
  <c r="Z217" i="2"/>
  <c r="AA216" i="2"/>
  <c r="Z216" i="2"/>
  <c r="AA215" i="2"/>
  <c r="Z215" i="2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AF205" i="2" s="1"/>
  <c r="Z205" i="2"/>
  <c r="AA204" i="2"/>
  <c r="Z204" i="2"/>
  <c r="AA203" i="2"/>
  <c r="Z203" i="2"/>
  <c r="AA202" i="2"/>
  <c r="Z202" i="2"/>
  <c r="AA201" i="2"/>
  <c r="AF201" i="2" s="1"/>
  <c r="Z201" i="2"/>
  <c r="AA200" i="2"/>
  <c r="AF200" i="2" s="1"/>
  <c r="Z200" i="2"/>
  <c r="AA199" i="2"/>
  <c r="AF199" i="2" s="1"/>
  <c r="Z199" i="2"/>
  <c r="AF198" i="2"/>
  <c r="AA198" i="2"/>
  <c r="Z198" i="2"/>
  <c r="AA197" i="2"/>
  <c r="AF197" i="2" s="1"/>
  <c r="Z197" i="2"/>
  <c r="AA196" i="2"/>
  <c r="AF196" i="2" s="1"/>
  <c r="Z196" i="2"/>
  <c r="AA195" i="2"/>
  <c r="AF195" i="2" s="1"/>
  <c r="Z195" i="2"/>
  <c r="AA194" i="2"/>
  <c r="Z194" i="2"/>
  <c r="AA193" i="2"/>
  <c r="AF193" i="2" s="1"/>
  <c r="Z193" i="2"/>
  <c r="AA192" i="2"/>
  <c r="AF192" i="2" s="1"/>
  <c r="Z192" i="2"/>
  <c r="AA191" i="2"/>
  <c r="AF191" i="2" s="1"/>
  <c r="Z191" i="2"/>
  <c r="AA190" i="2"/>
  <c r="AF190" i="2" s="1"/>
  <c r="Z190" i="2"/>
  <c r="AA189" i="2"/>
  <c r="AF189" i="2" s="1"/>
  <c r="Z189" i="2"/>
  <c r="AA188" i="2"/>
  <c r="AF188" i="2" s="1"/>
  <c r="Z188" i="2"/>
  <c r="AA187" i="2"/>
  <c r="AF187" i="2" s="1"/>
  <c r="Z187" i="2"/>
  <c r="AA186" i="2"/>
  <c r="AF186" i="2" s="1"/>
  <c r="Z186" i="2"/>
  <c r="AA185" i="2"/>
  <c r="AF185" i="2" s="1"/>
  <c r="Z185" i="2"/>
  <c r="AA184" i="2"/>
  <c r="AF184" i="2" s="1"/>
  <c r="Z184" i="2"/>
  <c r="AA183" i="2"/>
  <c r="AF183" i="2" s="1"/>
  <c r="Z183" i="2"/>
  <c r="AF182" i="2"/>
  <c r="AA182" i="2"/>
  <c r="Z182" i="2"/>
  <c r="AA181" i="2"/>
  <c r="AF181" i="2" s="1"/>
  <c r="Z181" i="2"/>
  <c r="AA180" i="2"/>
  <c r="AF180" i="2" s="1"/>
  <c r="Z180" i="2"/>
  <c r="AA179" i="2"/>
  <c r="AF179" i="2" s="1"/>
  <c r="Z179" i="2"/>
  <c r="AA178" i="2"/>
  <c r="AF178" i="2" s="1"/>
  <c r="Z178" i="2"/>
  <c r="AA177" i="2"/>
  <c r="AF177" i="2" s="1"/>
  <c r="Z177" i="2"/>
  <c r="AA176" i="2"/>
  <c r="AF176" i="2" s="1"/>
  <c r="Z176" i="2"/>
  <c r="AA175" i="2"/>
  <c r="AF175" i="2" s="1"/>
  <c r="Z175" i="2"/>
  <c r="AA174" i="2"/>
  <c r="AF174" i="2" s="1"/>
  <c r="Z174" i="2"/>
  <c r="AA173" i="2"/>
  <c r="AF173" i="2" s="1"/>
  <c r="Z173" i="2"/>
  <c r="AA172" i="2"/>
  <c r="AF172" i="2" s="1"/>
  <c r="Z172" i="2"/>
  <c r="AA171" i="2"/>
  <c r="AF171" i="2" s="1"/>
  <c r="Z171" i="2"/>
  <c r="AA170" i="2"/>
  <c r="AF170" i="2" s="1"/>
  <c r="Z170" i="2"/>
  <c r="AA169" i="2"/>
  <c r="AF169" i="2" s="1"/>
  <c r="Z169" i="2"/>
  <c r="AA168" i="2"/>
  <c r="AF168" i="2" s="1"/>
  <c r="Z168" i="2"/>
  <c r="AA167" i="2"/>
  <c r="AF167" i="2" s="1"/>
  <c r="Z167" i="2"/>
  <c r="AA166" i="2"/>
  <c r="AF166" i="2" s="1"/>
  <c r="Z166" i="2"/>
  <c r="AA165" i="2"/>
  <c r="AF165" i="2" s="1"/>
  <c r="Z165" i="2"/>
  <c r="AA164" i="2"/>
  <c r="AF164" i="2" s="1"/>
  <c r="Z164" i="2"/>
  <c r="AA163" i="2"/>
  <c r="AF163" i="2" s="1"/>
  <c r="Z163" i="2"/>
  <c r="AA162" i="2"/>
  <c r="AF162" i="2" s="1"/>
  <c r="Z162" i="2"/>
  <c r="AA161" i="2"/>
  <c r="AF161" i="2" s="1"/>
  <c r="Z161" i="2"/>
  <c r="AA160" i="2"/>
  <c r="AF160" i="2" s="1"/>
  <c r="Z160" i="2"/>
  <c r="AA159" i="2"/>
  <c r="AF159" i="2" s="1"/>
  <c r="Z159" i="2"/>
  <c r="AA158" i="2"/>
  <c r="AF158" i="2" s="1"/>
  <c r="Z158" i="2"/>
  <c r="AA157" i="2"/>
  <c r="AF157" i="2" s="1"/>
  <c r="Z157" i="2"/>
  <c r="AA156" i="2"/>
  <c r="AF156" i="2" s="1"/>
  <c r="Z156" i="2"/>
  <c r="AA155" i="2"/>
  <c r="AF155" i="2" s="1"/>
  <c r="Z155" i="2"/>
  <c r="AA154" i="2"/>
  <c r="AF154" i="2" s="1"/>
  <c r="Z154" i="2"/>
  <c r="AA153" i="2"/>
  <c r="AF153" i="2" s="1"/>
  <c r="Z153" i="2"/>
  <c r="AA152" i="2"/>
  <c r="AF152" i="2" s="1"/>
  <c r="Z152" i="2"/>
  <c r="AA151" i="2"/>
  <c r="AF151" i="2" s="1"/>
  <c r="Z151" i="2"/>
  <c r="AA150" i="2"/>
  <c r="AF150" i="2" s="1"/>
  <c r="Z150" i="2"/>
  <c r="AA149" i="2"/>
  <c r="AF149" i="2" s="1"/>
  <c r="Z149" i="2"/>
  <c r="AA148" i="2"/>
  <c r="AF148" i="2" s="1"/>
  <c r="Z148" i="2"/>
  <c r="AA147" i="2"/>
  <c r="AF147" i="2" s="1"/>
  <c r="Z147" i="2"/>
  <c r="AA146" i="2"/>
  <c r="AF146" i="2" s="1"/>
  <c r="Z146" i="2"/>
  <c r="AA145" i="2"/>
  <c r="AF145" i="2" s="1"/>
  <c r="Z145" i="2"/>
  <c r="AA144" i="2"/>
  <c r="AF144" i="2" s="1"/>
  <c r="Z144" i="2"/>
  <c r="AA143" i="2"/>
  <c r="AF143" i="2" s="1"/>
  <c r="Z143" i="2"/>
  <c r="AA142" i="2"/>
  <c r="AF142" i="2" s="1"/>
  <c r="Z142" i="2"/>
  <c r="AA141" i="2"/>
  <c r="AF141" i="2" s="1"/>
  <c r="Z141" i="2"/>
  <c r="AA140" i="2"/>
  <c r="AF140" i="2" s="1"/>
  <c r="Z140" i="2"/>
  <c r="AA139" i="2"/>
  <c r="AF139" i="2" s="1"/>
  <c r="Z139" i="2"/>
  <c r="AA138" i="2"/>
  <c r="AF138" i="2" s="1"/>
  <c r="Z138" i="2"/>
  <c r="AA137" i="2"/>
  <c r="AF137" i="2" s="1"/>
  <c r="Z137" i="2"/>
  <c r="AA136" i="2"/>
  <c r="AF136" i="2" s="1"/>
  <c r="Z136" i="2"/>
  <c r="AA135" i="2"/>
  <c r="AF135" i="2" s="1"/>
  <c r="Z135" i="2"/>
  <c r="AA134" i="2"/>
  <c r="AF134" i="2" s="1"/>
  <c r="Z134" i="2"/>
  <c r="AA133" i="2"/>
  <c r="AF133" i="2" s="1"/>
  <c r="Z133" i="2"/>
  <c r="AA132" i="2"/>
  <c r="AF132" i="2" s="1"/>
  <c r="Z132" i="2"/>
  <c r="AA131" i="2"/>
  <c r="AF131" i="2" s="1"/>
  <c r="Z131" i="2"/>
  <c r="AA130" i="2"/>
  <c r="AF130" i="2" s="1"/>
  <c r="Z130" i="2"/>
  <c r="AA129" i="2"/>
  <c r="AF129" i="2" s="1"/>
  <c r="Z129" i="2"/>
  <c r="AA128" i="2"/>
  <c r="AF128" i="2" s="1"/>
  <c r="Z128" i="2"/>
  <c r="AA127" i="2"/>
  <c r="AF127" i="2" s="1"/>
  <c r="Z127" i="2"/>
  <c r="AA126" i="2"/>
  <c r="AF126" i="2" s="1"/>
  <c r="Z126" i="2"/>
  <c r="AA125" i="2"/>
  <c r="AF125" i="2" s="1"/>
  <c r="Z125" i="2"/>
  <c r="AA124" i="2"/>
  <c r="AF124" i="2" s="1"/>
  <c r="Z124" i="2"/>
  <c r="AA123" i="2"/>
  <c r="Z123" i="2"/>
  <c r="AA122" i="2"/>
  <c r="AF122" i="2" s="1"/>
  <c r="Z122" i="2"/>
  <c r="AA121" i="2"/>
  <c r="AF121" i="2" s="1"/>
  <c r="Z121" i="2"/>
  <c r="AF120" i="2"/>
  <c r="AA120" i="2"/>
  <c r="Z120" i="2"/>
  <c r="AA119" i="2"/>
  <c r="AF119" i="2" s="1"/>
  <c r="Z119" i="2"/>
  <c r="AA118" i="2"/>
  <c r="AF118" i="2" s="1"/>
  <c r="Z118" i="2"/>
  <c r="AA117" i="2"/>
  <c r="AF117" i="2" s="1"/>
  <c r="Z117" i="2"/>
  <c r="AA116" i="2"/>
  <c r="AF116" i="2" s="1"/>
  <c r="Z116" i="2"/>
  <c r="AA115" i="2"/>
  <c r="AF115" i="2" s="1"/>
  <c r="Z115" i="2"/>
  <c r="AA114" i="2"/>
  <c r="AF114" i="2" s="1"/>
  <c r="Z114" i="2"/>
  <c r="AA113" i="2"/>
  <c r="AF113" i="2" s="1"/>
  <c r="Z113" i="2"/>
  <c r="AA112" i="2"/>
  <c r="AF112" i="2" s="1"/>
  <c r="Z112" i="2"/>
  <c r="AA111" i="2"/>
  <c r="AF111" i="2" s="1"/>
  <c r="Z111" i="2"/>
  <c r="AA110" i="2"/>
  <c r="AF110" i="2" s="1"/>
  <c r="Z110" i="2"/>
  <c r="AA109" i="2"/>
  <c r="AF109" i="2" s="1"/>
  <c r="Z109" i="2"/>
  <c r="AA108" i="2"/>
  <c r="AF108" i="2" s="1"/>
  <c r="Z108" i="2"/>
  <c r="AA107" i="2"/>
  <c r="AF107" i="2" s="1"/>
  <c r="Z107" i="2"/>
  <c r="AA106" i="2"/>
  <c r="AF106" i="2" s="1"/>
  <c r="Z106" i="2"/>
  <c r="AA105" i="2"/>
  <c r="AF105" i="2" s="1"/>
  <c r="Z105" i="2"/>
  <c r="AA104" i="2"/>
  <c r="AF104" i="2" s="1"/>
  <c r="Z104" i="2"/>
  <c r="AA103" i="2"/>
  <c r="AF103" i="2" s="1"/>
  <c r="Z103" i="2"/>
  <c r="AA102" i="2"/>
  <c r="AF102" i="2" s="1"/>
  <c r="Z102" i="2"/>
  <c r="AA101" i="2"/>
  <c r="AF101" i="2" s="1"/>
  <c r="Z101" i="2"/>
  <c r="AA100" i="2"/>
  <c r="AF100" i="2" s="1"/>
  <c r="Z100" i="2"/>
  <c r="AA99" i="2"/>
  <c r="AF99" i="2" s="1"/>
  <c r="Z99" i="2"/>
  <c r="AA98" i="2"/>
  <c r="AF98" i="2" s="1"/>
  <c r="Z98" i="2"/>
  <c r="AA97" i="2"/>
  <c r="AF97" i="2" s="1"/>
  <c r="Z97" i="2"/>
  <c r="AA96" i="2"/>
  <c r="AF96" i="2" s="1"/>
  <c r="Z96" i="2"/>
  <c r="AA95" i="2"/>
  <c r="AF95" i="2" s="1"/>
  <c r="Z95" i="2"/>
  <c r="AA94" i="2"/>
  <c r="AF94" i="2" s="1"/>
  <c r="Z94" i="2"/>
  <c r="AA93" i="2"/>
  <c r="AF93" i="2" s="1"/>
  <c r="Z93" i="2"/>
  <c r="AA92" i="2"/>
  <c r="AF92" i="2" s="1"/>
  <c r="Z92" i="2"/>
  <c r="AA91" i="2"/>
  <c r="AF91" i="2" s="1"/>
  <c r="Z91" i="2"/>
  <c r="AA90" i="2"/>
  <c r="AF90" i="2" s="1"/>
  <c r="Z90" i="2"/>
  <c r="AA89" i="2"/>
  <c r="AF89" i="2" s="1"/>
  <c r="Z89" i="2"/>
  <c r="AA88" i="2"/>
  <c r="AF88" i="2" s="1"/>
  <c r="Z88" i="2"/>
  <c r="AA87" i="2"/>
  <c r="AF87" i="2" s="1"/>
  <c r="Z87" i="2"/>
  <c r="AA86" i="2"/>
  <c r="AF86" i="2" s="1"/>
  <c r="Z86" i="2"/>
  <c r="AA85" i="2"/>
  <c r="AF85" i="2" s="1"/>
  <c r="Z85" i="2"/>
  <c r="AA84" i="2"/>
  <c r="AF84" i="2" s="1"/>
  <c r="Z84" i="2"/>
  <c r="AA83" i="2"/>
  <c r="AF83" i="2" s="1"/>
  <c r="Z83" i="2"/>
  <c r="AA82" i="2"/>
  <c r="AF82" i="2" s="1"/>
  <c r="Z82" i="2"/>
  <c r="AA81" i="2"/>
  <c r="AF81" i="2" s="1"/>
  <c r="Z81" i="2"/>
  <c r="AA80" i="2"/>
  <c r="AF80" i="2" s="1"/>
  <c r="Z80" i="2"/>
  <c r="AA79" i="2"/>
  <c r="AF79" i="2" s="1"/>
  <c r="Z79" i="2"/>
  <c r="AA78" i="2"/>
  <c r="AF78" i="2" s="1"/>
  <c r="Z78" i="2"/>
  <c r="AA77" i="2"/>
  <c r="AF77" i="2" s="1"/>
  <c r="Z77" i="2"/>
  <c r="AA76" i="2"/>
  <c r="AF76" i="2" s="1"/>
  <c r="Z76" i="2"/>
  <c r="AA75" i="2"/>
  <c r="AF75" i="2" s="1"/>
  <c r="Z75" i="2"/>
  <c r="AA74" i="2"/>
  <c r="AF74" i="2" s="1"/>
  <c r="Z74" i="2"/>
  <c r="AA73" i="2"/>
  <c r="AF73" i="2" s="1"/>
  <c r="Z73" i="2"/>
  <c r="AA72" i="2"/>
  <c r="AF72" i="2" s="1"/>
  <c r="Z72" i="2"/>
  <c r="AA71" i="2"/>
  <c r="AF71" i="2" s="1"/>
  <c r="Z71" i="2"/>
  <c r="AA70" i="2"/>
  <c r="AF70" i="2" s="1"/>
  <c r="Z70" i="2"/>
  <c r="AA69" i="2"/>
  <c r="AF69" i="2" s="1"/>
  <c r="Z69" i="2"/>
  <c r="AA68" i="2"/>
  <c r="AF68" i="2" s="1"/>
  <c r="Z68" i="2"/>
  <c r="AA67" i="2"/>
  <c r="AF67" i="2" s="1"/>
  <c r="Z67" i="2"/>
  <c r="AA66" i="2"/>
  <c r="AF66" i="2" s="1"/>
  <c r="Z66" i="2"/>
  <c r="AA65" i="2"/>
  <c r="AF65" i="2" s="1"/>
  <c r="Z65" i="2"/>
  <c r="AA64" i="2"/>
  <c r="AF64" i="2" s="1"/>
  <c r="Z64" i="2"/>
  <c r="AA63" i="2"/>
  <c r="AF63" i="2" s="1"/>
  <c r="Z63" i="2"/>
  <c r="AA62" i="2"/>
  <c r="AF62" i="2" s="1"/>
  <c r="Z62" i="2"/>
  <c r="AA61" i="2"/>
  <c r="AF61" i="2" s="1"/>
  <c r="Z61" i="2"/>
  <c r="AA60" i="2"/>
  <c r="AF60" i="2" s="1"/>
  <c r="Z60" i="2"/>
  <c r="AA59" i="2"/>
  <c r="AF59" i="2" s="1"/>
  <c r="Z59" i="2"/>
  <c r="AA58" i="2"/>
  <c r="AF58" i="2" s="1"/>
  <c r="Z58" i="2"/>
  <c r="AA57" i="2"/>
  <c r="AF57" i="2" s="1"/>
  <c r="Z57" i="2"/>
  <c r="AA56" i="2"/>
  <c r="AF56" i="2" s="1"/>
  <c r="Z56" i="2"/>
  <c r="AA55" i="2"/>
  <c r="AF55" i="2" s="1"/>
  <c r="Z55" i="2"/>
  <c r="AA54" i="2"/>
  <c r="AF54" i="2" s="1"/>
  <c r="Z54" i="2"/>
  <c r="AA53" i="2"/>
  <c r="AF53" i="2" s="1"/>
  <c r="Z53" i="2"/>
  <c r="AA52" i="2"/>
  <c r="AF52" i="2" s="1"/>
  <c r="Z52" i="2"/>
  <c r="AA51" i="2"/>
  <c r="AF51" i="2" s="1"/>
  <c r="Z51" i="2"/>
  <c r="AA50" i="2"/>
  <c r="AF50" i="2" s="1"/>
  <c r="Z50" i="2"/>
  <c r="AA49" i="2"/>
  <c r="AF49" i="2" s="1"/>
  <c r="Z49" i="2"/>
  <c r="AA48" i="2"/>
  <c r="AF48" i="2" s="1"/>
  <c r="Z48" i="2"/>
  <c r="AA47" i="2"/>
  <c r="AF47" i="2" s="1"/>
  <c r="Z47" i="2"/>
  <c r="AA46" i="2"/>
  <c r="AF46" i="2" s="1"/>
  <c r="Z46" i="2"/>
  <c r="AA45" i="2"/>
  <c r="AF45" i="2" s="1"/>
  <c r="Z45" i="2"/>
  <c r="AA44" i="2"/>
  <c r="AF44" i="2" s="1"/>
  <c r="Z44" i="2"/>
  <c r="AA43" i="2"/>
  <c r="AF43" i="2" s="1"/>
  <c r="Z43" i="2"/>
  <c r="AA42" i="2"/>
  <c r="AF42" i="2" s="1"/>
  <c r="Z42" i="2"/>
  <c r="AA41" i="2"/>
  <c r="AF41" i="2" s="1"/>
  <c r="Z41" i="2"/>
  <c r="AA40" i="2"/>
  <c r="AF40" i="2" s="1"/>
  <c r="Z40" i="2"/>
  <c r="AA39" i="2"/>
  <c r="AF39" i="2" s="1"/>
  <c r="Z39" i="2"/>
  <c r="AA38" i="2"/>
  <c r="AF38" i="2" s="1"/>
  <c r="Z38" i="2"/>
  <c r="AA37" i="2"/>
  <c r="AF37" i="2" s="1"/>
  <c r="Z37" i="2"/>
  <c r="AA36" i="2"/>
  <c r="AF36" i="2" s="1"/>
  <c r="Z36" i="2"/>
  <c r="AA35" i="2"/>
  <c r="AF35" i="2" s="1"/>
  <c r="Z35" i="2"/>
  <c r="AA34" i="2"/>
  <c r="AF34" i="2" s="1"/>
  <c r="Z34" i="2"/>
  <c r="AA33" i="2"/>
  <c r="AF33" i="2" s="1"/>
  <c r="Z33" i="2"/>
  <c r="AA32" i="2"/>
  <c r="AF32" i="2" s="1"/>
  <c r="Z32" i="2"/>
  <c r="AA31" i="2"/>
  <c r="AF31" i="2" s="1"/>
  <c r="Z31" i="2"/>
  <c r="AA30" i="2"/>
  <c r="AF30" i="2" s="1"/>
  <c r="Z30" i="2"/>
  <c r="AA29" i="2"/>
  <c r="AF29" i="2" s="1"/>
  <c r="Z29" i="2"/>
  <c r="AA28" i="2"/>
  <c r="AF28" i="2" s="1"/>
  <c r="Z28" i="2"/>
  <c r="AA27" i="2"/>
  <c r="AF27" i="2" s="1"/>
  <c r="Z27" i="2"/>
  <c r="AA26" i="2"/>
  <c r="AF26" i="2" s="1"/>
  <c r="Z26" i="2"/>
  <c r="AA25" i="2"/>
  <c r="AF25" i="2" s="1"/>
  <c r="Z25" i="2"/>
  <c r="AA24" i="2"/>
  <c r="AF24" i="2" s="1"/>
  <c r="Z24" i="2"/>
  <c r="AA23" i="2"/>
  <c r="AF23" i="2" s="1"/>
  <c r="Z23" i="2"/>
  <c r="AA22" i="2"/>
  <c r="AF22" i="2" s="1"/>
  <c r="Z22" i="2"/>
  <c r="AA21" i="2"/>
  <c r="AF21" i="2" s="1"/>
  <c r="Z21" i="2"/>
  <c r="AA20" i="2"/>
  <c r="AF20" i="2" s="1"/>
  <c r="Z20" i="2"/>
  <c r="AA19" i="2"/>
  <c r="AF19" i="2" s="1"/>
  <c r="Z19" i="2"/>
  <c r="AA18" i="2"/>
  <c r="AF18" i="2" s="1"/>
  <c r="Z18" i="2"/>
  <c r="AA17" i="2"/>
  <c r="AF17" i="2" s="1"/>
  <c r="Z17" i="2"/>
  <c r="AA16" i="2"/>
  <c r="AF16" i="2" s="1"/>
  <c r="Z16" i="2"/>
  <c r="AF15" i="2"/>
  <c r="AA15" i="2"/>
  <c r="Z15" i="2"/>
  <c r="AA14" i="2"/>
  <c r="AF14" i="2" s="1"/>
  <c r="Z14" i="2"/>
  <c r="AA13" i="2"/>
  <c r="AF13" i="2" s="1"/>
  <c r="Z13" i="2"/>
  <c r="AA12" i="2"/>
  <c r="AF12" i="2" s="1"/>
  <c r="Z12" i="2"/>
  <c r="AA11" i="2"/>
  <c r="AF11" i="2" s="1"/>
  <c r="AA10" i="2"/>
  <c r="AF10" i="2" s="1"/>
  <c r="Z10" i="2"/>
  <c r="AA9" i="2"/>
  <c r="AF9" i="2" s="1"/>
  <c r="Z9" i="2"/>
  <c r="AA8" i="2"/>
  <c r="AF8" i="2" s="1"/>
  <c r="Z8" i="2"/>
  <c r="AA7" i="2"/>
  <c r="AF7" i="2" s="1"/>
  <c r="Z7" i="2"/>
  <c r="AA6" i="2"/>
  <c r="AF6" i="2" s="1"/>
  <c r="Z6" i="2"/>
  <c r="AF5" i="2"/>
  <c r="AA5" i="2"/>
  <c r="Z5" i="2"/>
  <c r="AA4" i="2"/>
  <c r="AF4" i="2" s="1"/>
  <c r="Z4" i="2"/>
  <c r="AA3" i="2"/>
  <c r="AF3" i="2" s="1"/>
  <c r="Z3" i="2"/>
  <c r="AA2" i="2"/>
  <c r="AF2" i="2" s="1"/>
  <c r="Z2" i="2"/>
  <c r="Z11" i="2" l="1"/>
</calcChain>
</file>

<file path=xl/sharedStrings.xml><?xml version="1.0" encoding="utf-8"?>
<sst xmlns="http://schemas.openxmlformats.org/spreadsheetml/2006/main" count="651" uniqueCount="391">
  <si>
    <t>No.</t>
  </si>
  <si>
    <t>SUMINISTRO
(Nombre, Presentación y Concentración)</t>
  </si>
  <si>
    <t>NUMERO DE KARDEX</t>
  </si>
  <si>
    <t>SALDO INICIAL</t>
  </si>
  <si>
    <t>INGRESOS</t>
  </si>
  <si>
    <t>CAHABON</t>
  </si>
  <si>
    <t>CAMPUR</t>
  </si>
  <si>
    <t>CARCHA</t>
  </si>
  <si>
    <t>CHAHAL</t>
  </si>
  <si>
    <t>CHAMELCO</t>
  </si>
  <si>
    <t>CHISEC</t>
  </si>
  <si>
    <t>COBAN</t>
  </si>
  <si>
    <t>FRAY</t>
  </si>
  <si>
    <t>LA TINTA</t>
  </si>
  <si>
    <t>LANQUIN</t>
  </si>
  <si>
    <t>PANZOS</t>
  </si>
  <si>
    <t>RAXRUHA</t>
  </si>
  <si>
    <t>SAN CRISTOBAL</t>
  </si>
  <si>
    <t>SANTA CRUZ</t>
  </si>
  <si>
    <t>SENAHU</t>
  </si>
  <si>
    <t>TACTIC</t>
  </si>
  <si>
    <t>TAMAHU</t>
  </si>
  <si>
    <t>TELEMAN</t>
  </si>
  <si>
    <t>TUCURU</t>
  </si>
  <si>
    <t>OTROS</t>
  </si>
  <si>
    <t>SALIDAS</t>
  </si>
  <si>
    <t>SALDO FISICO</t>
  </si>
  <si>
    <t>NUMERO DE LOTE</t>
  </si>
  <si>
    <t>FECHA DE VENCIMIENTO</t>
  </si>
  <si>
    <t>No. KARDEX</t>
  </si>
  <si>
    <t>PRECIO UNITARIO</t>
  </si>
  <si>
    <t>PRECIO TORAL</t>
  </si>
  <si>
    <t>Aceite de Inmersion, Frasco</t>
  </si>
  <si>
    <t>Acido Acetico 5.70%-6.30%, Solucion topica, Litro</t>
  </si>
  <si>
    <t>Acido acetico, Galon</t>
  </si>
  <si>
    <t>Adaptador plastico (camisa) para extraccion sanguinea, Unidad</t>
  </si>
  <si>
    <t>Aerosol fijador para citologia, Frasco</t>
  </si>
  <si>
    <t>Aguja de uso multiple para tubo al vacio con aguja 21G x 1 ½", Unidad</t>
  </si>
  <si>
    <t>Aguja para bloqueo raquideo No. 25 G. x 4”punta de lapiz ( whitacre), Unidad</t>
  </si>
  <si>
    <t>Aguja uso dental 27G x 1 1/2" larga, Unidad</t>
  </si>
  <si>
    <t>Aguja uso dental 27G x 1" corta, Unidad</t>
  </si>
  <si>
    <t>Algodon absorbente 100% puro, rollo de una libra, uso medico.</t>
  </si>
  <si>
    <t>Bata quirurgica descartable, talla estandar, material polipropileno, puño jersey, esteril, con cintas de amarre, Unidad</t>
  </si>
  <si>
    <t>Bata Quirurgica descartable, talla grande, esteril, para uso en quirofano, Unidad</t>
  </si>
  <si>
    <t>Bata Quirurgica descartable, talla Mediana, esteril, para uso en quirofano, Unidad</t>
  </si>
  <si>
    <t>Bolsa Esteril con cierre Whirl-Pak para muestra de agua</t>
  </si>
  <si>
    <t>Bolsa para recoleccion urinaria  para uso en cama, capacidad 2000 - 3000 mL ventilada., Unidad</t>
  </si>
  <si>
    <t>Bolsa plastica para urocultivo, uso pediatrico (niña), Unidad</t>
  </si>
  <si>
    <t>Bolsa plastica para urocultivo, uso pediatrico (niño), Unidad</t>
  </si>
  <si>
    <t>Bolsas rojas para desechos bio-infecciosos grandes, unidad</t>
  </si>
  <si>
    <t>Bolsas rojas para desechos bio-infecciosos medianas, unidad</t>
  </si>
  <si>
    <t>Bolsas rojas para desechos bio-infecciosos pequeñas, unidad</t>
  </si>
  <si>
    <t>Bota quirurgica antideslizante, Par</t>
  </si>
  <si>
    <t>Caja de petri 100 mm x 15 mm, Unidad</t>
  </si>
  <si>
    <t>Caja de petri bisectada 100 x 15, Unidad</t>
  </si>
  <si>
    <t>Caja Petri con almohadilla absorbente de 47mm</t>
  </si>
  <si>
    <t>Caldo de Cultivo para Coliformes fecales</t>
  </si>
  <si>
    <t>Canula binasal, para administracion de oxigeno, uso en recien nacidos y/o  neonatos, Unidad</t>
  </si>
  <si>
    <t>Cateter intravenoso No. 16G x 1 3/4" a 2", Unidad</t>
  </si>
  <si>
    <t>Cateter intravenoso No. 18G. x 1 1/4" a 1 3/4", Unidad</t>
  </si>
  <si>
    <t>Cateter intravenoso No. 20G. x 1 1/4" a 1 3/4", Unidad</t>
  </si>
  <si>
    <t>Cateter intravenoso No. 22G. X 1 a 1 1/4", Unidad</t>
  </si>
  <si>
    <t>Cateter intravenoso No. 24G. X 1 a 1 1/4", Unidad</t>
  </si>
  <si>
    <t>Catgut Cromico 0-0, monofilamento, Sobre</t>
  </si>
  <si>
    <t>Catgut Cromico 2-0, monofilamento, Sobre</t>
  </si>
  <si>
    <t>Catgut Simple 2-0, monofilamento,Sobre</t>
  </si>
  <si>
    <t>Cinta testigo para esterilizacion con vapor , Unidad</t>
  </si>
  <si>
    <t>Cinta umbilical (castilla) de 1/2", rollo 100 yardas, Unidad</t>
  </si>
  <si>
    <t>Clamp umbilical, Unidad</t>
  </si>
  <si>
    <t>Colector plastico de esputo de 40 a 60 ml, con tapadera rosca., Unidad</t>
  </si>
  <si>
    <t>Colorante de Giemsa, Frasco</t>
  </si>
  <si>
    <t>Colorante de Ziehl Neelsen (Presentacion kit de 3 colorantes)</t>
  </si>
  <si>
    <t>Colorantes para GRAM (Lugol, Cristal Violeta, Safranina y Alcohol Acetona), Kit</t>
  </si>
  <si>
    <t>Control normal diagnostico de laboratorio, Frasco</t>
  </si>
  <si>
    <t>Control patologico diagnostico de laboratorio, Frasco</t>
  </si>
  <si>
    <t>Crayon Graso</t>
  </si>
  <si>
    <t>Depresor de lengua (bajalenguas), Unidad</t>
  </si>
  <si>
    <t>Determinacion de cloro, Kit</t>
  </si>
  <si>
    <t>Diluyente para globulos blancos, Unidad, Frasco</t>
  </si>
  <si>
    <t>Equipo para venoclisis  con reservorio de 100 mL, con microgotero de 60 microgotas/ml, Unidad</t>
  </si>
  <si>
    <t>Equipo para venoclisis con aguja, con camara de goteo transparente de 20 gotas/ml, Unidad</t>
  </si>
  <si>
    <t>Esparadrapo de seda impermeable 1 pulgada, Rollo</t>
  </si>
  <si>
    <t>Esparadrapo de seda impermeable 2 pulgadas, Rollo</t>
  </si>
  <si>
    <t>Esparadrapo microporoso sintetico  1 pulgada, Rollo</t>
  </si>
  <si>
    <t>Esparadrapo microporoso sintetico  2 pulgadas , Rollo</t>
  </si>
  <si>
    <t>Espatula o Paleta de Ayre, Unidad</t>
  </si>
  <si>
    <t>Especulo vaginal descartable grande, Unidad</t>
  </si>
  <si>
    <t>Especulo vaginal descartable mediano, Unidad</t>
  </si>
  <si>
    <t>Especulo vaginal descartable pequeño, Unidad</t>
  </si>
  <si>
    <t>Gasa quirurgica de 36"x 100 yardas, Pieza</t>
  </si>
  <si>
    <t>Gel hidrosoluble para ultrasonograma, Galon</t>
  </si>
  <si>
    <t>Gel lubricante, Sobre/Sachet</t>
  </si>
  <si>
    <t>Gel o jalea lubricante hidrosoluble con bacteriostatico, Tubo</t>
  </si>
  <si>
    <t>Gorro descartable para cirujano, Unidad</t>
  </si>
  <si>
    <t>Guante descartable de latex  grande, Unidad</t>
  </si>
  <si>
    <t>Guante descartable de latex  mediano, Unidad</t>
  </si>
  <si>
    <t>Guante descartable de latex pequeño, Unidad</t>
  </si>
  <si>
    <t>Guante quirurgico No. 6 , Par</t>
  </si>
  <si>
    <t>Guante quirurgico No. 6 1/2, Par</t>
  </si>
  <si>
    <t>Guante quirurgico No. 7 1/2, Par</t>
  </si>
  <si>
    <t>Guante quirurgico No. 7, Par</t>
  </si>
  <si>
    <t>Guante quirurgico No. 8, Par</t>
  </si>
  <si>
    <t>Guantes de nitrilo  pequeño, Par</t>
  </si>
  <si>
    <t>Guantes de nitrilo grande, Par</t>
  </si>
  <si>
    <t>Guantes de nitrilo Mediano, Par</t>
  </si>
  <si>
    <t>Hematologia Completa, Prueba</t>
  </si>
  <si>
    <t>Hisopo de madera, no esteril</t>
  </si>
  <si>
    <t>Hoja de Bisturi No. 15, Unidad</t>
  </si>
  <si>
    <t>Hoja de Bisturi No. 24, Unidad</t>
  </si>
  <si>
    <t>Humidificador de oxigeno, sistema de burbuja, con filtro., Unidad</t>
  </si>
  <si>
    <t>Jeringa descartable 1 mL con aguja No. 27G x 1/2", tribiselada y siliconizada, Unidad</t>
  </si>
  <si>
    <t>Jeringa descartable 10 mL con aguja  No. 22G x 1 1/2", tribiselada y siliconizada. , Unidad</t>
  </si>
  <si>
    <t>Jeringa descartable 3 mL  con aguja calibre No. 22G x 1 1/2" tribiselada y siliconizada. , Unidad</t>
  </si>
  <si>
    <t>Jeringa descartable 3 mL con aguja No. 23G  x 1" tribiselada y siliconizada. , Unidad</t>
  </si>
  <si>
    <t>Jeringa descartable, 5 mL con aguja calibre No. 22G x 1 1/2", tribiselada y siliconizada, Unidad</t>
  </si>
  <si>
    <t>Jeringa para administracion de insulina con aguja No. 29G x 1/2", tribiselada, y siliconizada., Unidad</t>
  </si>
  <si>
    <t>Lamina Cubreobjetos 22x22 mm, Unidad</t>
  </si>
  <si>
    <t>Lamina Portaobjetos 76x26 o 24 mm, no esmerilado, Unidad</t>
  </si>
  <si>
    <t>Lanceta, Unidad</t>
  </si>
  <si>
    <t>Lentes protectores de bioseguridad, Unidad</t>
  </si>
  <si>
    <t>Ligadura de Latex para extracion sanguinea, Unidad</t>
  </si>
  <si>
    <t>Mascarilla N95/KN95, Unidad</t>
  </si>
  <si>
    <t>Mascarilla para nebulizar adulto, unidad</t>
  </si>
  <si>
    <t>Mascarilla quirurgica descartable , Unidad</t>
  </si>
  <si>
    <t>Mascarillas para nebulizar, pediatricas, Unidad</t>
  </si>
  <si>
    <t>Medios de Transporte Viral (MTV), Kit</t>
  </si>
  <si>
    <t>Membrana de Acetato de Celulosa curado, 45 mm, (Filtro), Unidad</t>
  </si>
  <si>
    <t>Metanol Absoluto (Alcohol para quemar), galon</t>
  </si>
  <si>
    <t>Oxido Nitroso, 60 libras, unidad</t>
  </si>
  <si>
    <t>Palillo aplicador/removedor, Unidad</t>
  </si>
  <si>
    <t>Pañal desechable  adulto extra grande, Unidad</t>
  </si>
  <si>
    <t>Pañal desechable  adulto grande, Unidad</t>
  </si>
  <si>
    <t>Pañal desechable adulto mediano, Unidad</t>
  </si>
  <si>
    <t>Pañal desechable pediatrico grande, Unidad</t>
  </si>
  <si>
    <t>Pañal desechable pediatrico mediano, Unidad</t>
  </si>
  <si>
    <t>Pañal desechable pediatrico pequeño, Unidad</t>
  </si>
  <si>
    <t>Papel crepado para procesos de esterilizacion a vapor y  oxido de etileno, Bobina  de 110 cm x 240 a 250 m de longitud</t>
  </si>
  <si>
    <t>Papel kraft para mesa, calibre 30, bobina de 200 -210 yardas, ancho de 18"-20"</t>
  </si>
  <si>
    <t>Papel Limpialentes para Microscopio, Caja</t>
  </si>
  <si>
    <t>Papel mayordomo, Unidad</t>
  </si>
  <si>
    <t>Pelicula autosellante (Papel Parafilm), Rollo</t>
  </si>
  <si>
    <t>Prueba de Antigeno Prostatico (PSA), Kit</t>
  </si>
  <si>
    <t>Prueba de deteccion para sifilis por RPR</t>
  </si>
  <si>
    <t>Prueba de Hemoglobina glicosilada, Unidad</t>
  </si>
  <si>
    <t>Prueba para Rotavirus, Unidad</t>
  </si>
  <si>
    <t>Prueba para tiempo de Protombina, Unidad</t>
  </si>
  <si>
    <t>Prueba rapida de Embarazo, Unidad</t>
  </si>
  <si>
    <t>Prueba rapida de Hepatitis C</t>
  </si>
  <si>
    <t>Prueba rapida de infecciones TORCH, Kit</t>
  </si>
  <si>
    <t>Prueba rapida de VIH-1/VIH-2, Segunda prueba, Unidad</t>
  </si>
  <si>
    <t>Prueba rapida para anticuerpos contra Tripanosoma cruzi (Chagas), Unidad</t>
  </si>
  <si>
    <t>Prueba rapida para deteccion de antigeno viral SARS-CoV-2 en hisopado</t>
  </si>
  <si>
    <t>Prueba rapida para Helicobacter Pylori en Heces</t>
  </si>
  <si>
    <t>Prueba rapida para Hepatitis A, Unidad</t>
  </si>
  <si>
    <t>Prueba rapida para Hepatitis B, Unidad</t>
  </si>
  <si>
    <t>Prueba rapida para Malaria, Unidad</t>
  </si>
  <si>
    <t>Prueba rapida para Sifilis (simple), Unidad</t>
  </si>
  <si>
    <t>Prueba rapida para VIH, Unidad</t>
  </si>
  <si>
    <t>Prueba Tiempo de tromboplastina, Unidad</t>
  </si>
  <si>
    <t>Pulsera de plastico flexible de identificacion para madre y niña color rosado, Par</t>
  </si>
  <si>
    <t>Pulsera de plastico flexible de identificacion para madre y niño color celeste, Par</t>
  </si>
  <si>
    <t>Reactivo de Rh (Grupo sanguineo A, B y D), Kit</t>
  </si>
  <si>
    <t>Reactivo para Acido Urico, Kit</t>
  </si>
  <si>
    <t>Reactivo para ALAT/TGP (Transaminasa), Kit</t>
  </si>
  <si>
    <t>Reactivo para Antiestreptolisina (ASO), Proteina C Reactiva (PCR) y Factor Reumatoideo (FR), Kit</t>
  </si>
  <si>
    <t>Reactivo para ASAT/TGO (Transaminasa), Kit</t>
  </si>
  <si>
    <t>Reactivo para ASO (Antiestreptolisina), Kit</t>
  </si>
  <si>
    <t>Reactivo para Bilirrubina Directa, Kit</t>
  </si>
  <si>
    <t>Reactivo para Bilirrubina Total, Kit</t>
  </si>
  <si>
    <t>Reactivo para Colesterol Total, Kit</t>
  </si>
  <si>
    <t>Reactivo para Creatinina, Kit</t>
  </si>
  <si>
    <t>Reactivo para FR (Factor Reumatoideo), Kit</t>
  </si>
  <si>
    <t>Reactivo para Glucosa, Kit</t>
  </si>
  <si>
    <t>Reactivo para Nitrogeno en Urea, Kit</t>
  </si>
  <si>
    <t>Reactivo para PCR (Proteina C Reactiva), Kit</t>
  </si>
  <si>
    <t>Reactivo para Trigliceridos, Kit</t>
  </si>
  <si>
    <t>Reactivo para VDRL/RPR, Kit</t>
  </si>
  <si>
    <t>Recipiente para descartar material punzo cortante, capacidad de 1 litro, Unidad</t>
  </si>
  <si>
    <t>Recipiente para descartar material punzo cortante, capacidad de 5 litros, Unidad</t>
  </si>
  <si>
    <t>Recipiente para muestra de orina, Unidad</t>
  </si>
  <si>
    <t>Sangre de Carnero, Frasco</t>
  </si>
  <si>
    <t>Sellador de capilares para hematocrito</t>
  </si>
  <si>
    <t>Sello para cateter (sellos de heparina) esteril con acople luer lock descartable  , Unidad</t>
  </si>
  <si>
    <t>Solucion de EDTA, Frasco</t>
  </si>
  <si>
    <t>Solucion de Lugol Fuerte al 5%, Frasco</t>
  </si>
  <si>
    <t>Sonda de aspiracion  No. 10 Fr. , Unidad</t>
  </si>
  <si>
    <t>Sonda de aspiracion  No. 12 Fr., Unidad</t>
  </si>
  <si>
    <t>Sonda de aspiracion  No. 16 Fr. , Unidad</t>
  </si>
  <si>
    <t>Sonda de aspiracion  No. 18Fr. , Unidad</t>
  </si>
  <si>
    <t>Sonda de aspiracion  No. 8 Fr. , Unidad</t>
  </si>
  <si>
    <t>Sonda de aspiracion No. 14 Fr., Unidad</t>
  </si>
  <si>
    <t>Sonda Foley  No. 14 Fr.  de 2 vias, con balon, Unidad</t>
  </si>
  <si>
    <t>Sonda Foley  No. 16 Fr.  de 2 vias, con balon, Unidad</t>
  </si>
  <si>
    <t>Sonda Foley  No. 18 Fr.  de 2 vias, con balon de 5 - 15cc, Unidad</t>
  </si>
  <si>
    <t>Sonda Foley  No. 20 Fr.  de 2 vias, con balon de 5 - 15cc, Unidad</t>
  </si>
  <si>
    <t>Sonda nasogastrica de alimentacion enteral No. 18 Fr., Unidad</t>
  </si>
  <si>
    <t>Sonda nasogastrica de alimentacion enteral No. 5 Fr., Unidad</t>
  </si>
  <si>
    <t>Sondas de alimentacion infantil No. 8 Fr. Longitud mayor de 50 cm, Unidad</t>
  </si>
  <si>
    <t>Sutura  Nylon  (Poliamida) 2-0, monofilamento  , Unidad</t>
  </si>
  <si>
    <t>Sutura  Nylon  (Poliamida) 3-0, monofilamento, Unidad</t>
  </si>
  <si>
    <t>Sutura  Nylon  (Poliamida) 5-0, monofilamento  , Unidad</t>
  </si>
  <si>
    <t>Sutura Sintetica absorbible 1-0,  multifilamento, aguja en forma de 1/2 circulo, con longitud de 48 mm.Sobre</t>
  </si>
  <si>
    <t>Termometro clinico oral,  Unidad</t>
  </si>
  <si>
    <t>Termometro infrarrojo, Unidad</t>
  </si>
  <si>
    <t>Tips o Punta Amarillo 2 - 100 mcl, Bolsa</t>
  </si>
  <si>
    <t>Tips o Punta Azul, 00 - 1000 mcl, Bolsa</t>
  </si>
  <si>
    <t>Tips o Punta blanca  0 - 10 mcl, Bolsa</t>
  </si>
  <si>
    <t>Tira reactiva para Glucosa en sangre, Unidad</t>
  </si>
  <si>
    <t>Tira reactiva para Orina, Frasco</t>
  </si>
  <si>
    <t>Trajes de bioseguridad, Unidad</t>
  </si>
  <si>
    <t>Tubo Capilar con heparina, Unidad</t>
  </si>
  <si>
    <t>Tubo Capilar sin heparina, Unidad</t>
  </si>
  <si>
    <t>Tubo de vidrio con tapadera de rosca, Unidad</t>
  </si>
  <si>
    <t>Tubo endotraqueal con balon Calibre 7 de diametro interno, punta tipo Murphy, conector de 15 mm , Unidad</t>
  </si>
  <si>
    <t>Tubo endotraqueal No. 5.5, sin balon, con conector de 15 mm, Unidad</t>
  </si>
  <si>
    <t>Tubo endotraqueal No. 6, sin balon con conector de 15 mm, Unidad</t>
  </si>
  <si>
    <t>Tubo endotraqueal No. 6.5, sin balon, con conector 15 mm, Unidad</t>
  </si>
  <si>
    <t>Tubo endotraqueal sin balon Calibre  2.5, punta tipo Murphy, conector de 15 mm, Unidad</t>
  </si>
  <si>
    <t>Tubo endotraqueal sin balon Calibre  3, punta tipo Murphy  con conector de 15 mm, Unidad</t>
  </si>
  <si>
    <t>Tubo endotraqueal sin balon Calibre  3.5, punta tipo Murphy conector de 15 mm, Unidad</t>
  </si>
  <si>
    <t>Tubo endotraqueal sin balon Calibre  4 de diametro interno, punta tipo Murphy,  conector de 15 mm, Unidad</t>
  </si>
  <si>
    <t>Tubo endotraqueal sin balon Calibre  4.5 de diametro interno, punta tipo Murphy, conector de 15 mm, Unidad</t>
  </si>
  <si>
    <t>Tubo endotraqueal sin balon Calibre  5 de diametro interno, punta tipo Murphy, conector de 15 mm, Unidad</t>
  </si>
  <si>
    <t>Tubo para extraccion al Vacio de 10 ml, Sin Antocoagulante, Unidad</t>
  </si>
  <si>
    <t>Tubo para extraccion al Vacio de 3 ml con Citrato de Sodio, Unidad</t>
  </si>
  <si>
    <t>Tubo para extraccion al Vacio de 4 ml, Con Anticoagulante, Unidad</t>
  </si>
  <si>
    <t>Tubo para extraccion al Vacio de 4 ml, Sin Anticoagulante, Unidad</t>
  </si>
  <si>
    <t>Tubo para extraccion al Vacio de 5ml, Sin Anticoagulante, Unidad</t>
  </si>
  <si>
    <t>Venda de gasa de 2" X 10 yardas, Unidad</t>
  </si>
  <si>
    <t>Venda elastica de 4" x 5 yardas, de algodon o poliester, empaque individual. , Rollo</t>
  </si>
  <si>
    <t>Visor/Careta Facial, Unidad</t>
  </si>
  <si>
    <t>Pinza de Anillo</t>
  </si>
  <si>
    <t>Equipo de Parto</t>
  </si>
  <si>
    <t>Porta Pinza</t>
  </si>
  <si>
    <t>Termo para Vacuna</t>
  </si>
  <si>
    <t>Pinza de Biopcia Cervical</t>
  </si>
  <si>
    <t>Equipo de Sutura</t>
  </si>
  <si>
    <t>Equipo de curacion</t>
  </si>
  <si>
    <t>Cinta Metrica Perimetro Branquial</t>
  </si>
  <si>
    <t>Algodonera</t>
  </si>
  <si>
    <t>Tubo al vacio anticuagulante EDTA 500 MICROLITROS</t>
  </si>
  <si>
    <t>Gestograma</t>
  </si>
  <si>
    <t>Bacin</t>
  </si>
  <si>
    <t>Jeringa de anestecia odontologica</t>
  </si>
  <si>
    <t>Termometro frontal horizontal</t>
  </si>
  <si>
    <t>Cinta Obstetrica</t>
  </si>
  <si>
    <t>Cepillo quirurgico</t>
  </si>
  <si>
    <t>BUFFER</t>
  </si>
  <si>
    <t>TOALLA ABSORVENTE DE PAPEL</t>
  </si>
  <si>
    <t>Dirección Departamental de Redes Interegradas de Servicios de Salud de Alta Verapaz                                                                                                                                                                                                                                                                                                                                                                              Almacén de Material Medico Quirúrgico                                                                                                                                                                                                                                                                                                                                                                                                                                                                                       Inventario Fisico Semaforo al 25 de Junio</t>
  </si>
  <si>
    <t xml:space="preserve">No. </t>
  </si>
  <si>
    <t xml:space="preserve">Descripción </t>
  </si>
  <si>
    <t xml:space="preserve">Presentación </t>
  </si>
  <si>
    <t xml:space="preserve">Lote </t>
  </si>
  <si>
    <t xml:space="preserve">Fecha de Vencimiento </t>
  </si>
  <si>
    <t xml:space="preserve">No. Kardex </t>
  </si>
  <si>
    <t>Existencias</t>
  </si>
  <si>
    <t>Precio Unitario</t>
  </si>
  <si>
    <t>Precio Total</t>
  </si>
  <si>
    <t xml:space="preserve">Frasco </t>
  </si>
  <si>
    <t xml:space="preserve">Litro </t>
  </si>
  <si>
    <t>UUG</t>
  </si>
  <si>
    <t xml:space="preserve">Galon </t>
  </si>
  <si>
    <t xml:space="preserve">ULG </t>
  </si>
  <si>
    <t xml:space="preserve">Unidad </t>
  </si>
  <si>
    <t>Y1022006 G180133N</t>
  </si>
  <si>
    <t xml:space="preserve">SYM23-115GT </t>
  </si>
  <si>
    <t xml:space="preserve">Caja </t>
  </si>
  <si>
    <t xml:space="preserve">Rollo </t>
  </si>
  <si>
    <t>2024068  20251128</t>
  </si>
  <si>
    <t>7/4/2029 27/11/2030</t>
  </si>
  <si>
    <t>20240908 20251128</t>
  </si>
  <si>
    <t>7/09/2029  27/11/2030</t>
  </si>
  <si>
    <t>N/A</t>
  </si>
  <si>
    <t>FSPB555B</t>
  </si>
  <si>
    <t>2309070 2404182</t>
  </si>
  <si>
    <t>03/2029   08/2028</t>
  </si>
  <si>
    <t>2102015     2090275</t>
  </si>
  <si>
    <t>31/10/2030   30/09/2030</t>
  </si>
  <si>
    <t>HX45858504</t>
  </si>
  <si>
    <t xml:space="preserve">Kit </t>
  </si>
  <si>
    <t>No. 39</t>
  </si>
  <si>
    <t>28AG24450 14AG24218 14AG24219 14AG24426</t>
  </si>
  <si>
    <t>593F</t>
  </si>
  <si>
    <t>54296 54103</t>
  </si>
  <si>
    <t xml:space="preserve">13AG </t>
  </si>
  <si>
    <t xml:space="preserve">SYM24-070GT </t>
  </si>
  <si>
    <t>29/2029</t>
  </si>
  <si>
    <t>SYM25-002GT</t>
  </si>
  <si>
    <t>32837LPZA</t>
  </si>
  <si>
    <t>Par</t>
  </si>
  <si>
    <t xml:space="preserve">IDE23-001GT </t>
  </si>
  <si>
    <t>IDE24-003GT</t>
  </si>
  <si>
    <t>E25042301</t>
  </si>
  <si>
    <t>Unidad</t>
  </si>
  <si>
    <t>240025BL    SYM22-065GT</t>
  </si>
  <si>
    <t xml:space="preserve">SYM25-054GT </t>
  </si>
  <si>
    <t>20250614  428031E5E2  20230603</t>
  </si>
  <si>
    <t>1/06/2029  16/3/2030   2/6/2028</t>
  </si>
  <si>
    <t>53852  53781</t>
  </si>
  <si>
    <t>D1081730O293A  D1081730O334B D1081730O300A</t>
  </si>
  <si>
    <t>ST260125</t>
  </si>
  <si>
    <t xml:space="preserve">Bobina </t>
  </si>
  <si>
    <t>Caja</t>
  </si>
  <si>
    <t>ATPSA26050005</t>
  </si>
  <si>
    <t xml:space="preserve"> ECROT25102001</t>
  </si>
  <si>
    <t xml:space="preserve"> 19/10/2028</t>
  </si>
  <si>
    <t xml:space="preserve"> HCG25080005</t>
  </si>
  <si>
    <t>02BPK037AA</t>
  </si>
  <si>
    <t xml:space="preserve"> HPG25090016</t>
  </si>
  <si>
    <t>53855 6406</t>
  </si>
  <si>
    <t>015DK014AA</t>
  </si>
  <si>
    <t>19H2125S</t>
  </si>
  <si>
    <t>0001168562</t>
  </si>
  <si>
    <t>Kit</t>
  </si>
  <si>
    <t>MIO226011</t>
  </si>
  <si>
    <t>LIQ816</t>
  </si>
  <si>
    <t>LIQ347</t>
  </si>
  <si>
    <t>LIQ397</t>
  </si>
  <si>
    <t>LIQ468</t>
  </si>
  <si>
    <t>D495 D87</t>
  </si>
  <si>
    <t>LIQ657</t>
  </si>
  <si>
    <t>LIQ643</t>
  </si>
  <si>
    <t>2024120101 20250628 12092024  250109</t>
  </si>
  <si>
    <t>30/11/2029  06/2030 12/08/2029 01/2030</t>
  </si>
  <si>
    <t xml:space="preserve">SYM25-055GT </t>
  </si>
  <si>
    <t>Frasco</t>
  </si>
  <si>
    <t>21JL25118</t>
  </si>
  <si>
    <t>YL041522</t>
  </si>
  <si>
    <t>23EF-03B</t>
  </si>
  <si>
    <t>SYM25-053GT</t>
  </si>
  <si>
    <t xml:space="preserve">SYM25-084GT </t>
  </si>
  <si>
    <t>SYMA25-016GT</t>
  </si>
  <si>
    <t>SYM25-066GT</t>
  </si>
  <si>
    <t>Buffer</t>
  </si>
  <si>
    <t>0001157750</t>
  </si>
  <si>
    <t>Toalla Absorbente de Papel</t>
  </si>
  <si>
    <t>Pinza de biopcia Servical</t>
  </si>
  <si>
    <t>Pipeta automarica</t>
  </si>
  <si>
    <t>Caja porta laminillas</t>
  </si>
  <si>
    <t>Tubo de extraccion al Vacio de 500 microlitros</t>
  </si>
  <si>
    <t xml:space="preserve">TOTAL </t>
  </si>
  <si>
    <t xml:space="preserve">Oziel Gonzalez Wellmann                                                   Auxiliar miscelaneo  </t>
  </si>
  <si>
    <t xml:space="preserve">P.C. Mateo Caal                                     Coordinador de Almacen </t>
  </si>
  <si>
    <r>
      <rPr>
        <b/>
        <sz val="14"/>
        <color theme="1"/>
        <rFont val="Twentieth Century"/>
      </rPr>
      <t>Dirección Departamental de Redes Integradas de Servicios de Salud de Alta Verapaz</t>
    </r>
    <r>
      <rPr>
        <b/>
        <sz val="14"/>
        <color theme="1"/>
        <rFont val="Twentieth Century"/>
      </rPr>
      <t xml:space="preserve">
Unidad de Álmacen 
Control de Ingreso de Medicamentos y Productos Afines</t>
    </r>
  </si>
  <si>
    <t>Reporte del mes de: MAYO</t>
  </si>
  <si>
    <t>No. de Factura y/o forma de traslado</t>
  </si>
  <si>
    <t>NIT del Proveedor</t>
  </si>
  <si>
    <t>Nombre del Proveedor</t>
  </si>
  <si>
    <t>No. Código del Producto</t>
  </si>
  <si>
    <t>Descripción del Producto</t>
  </si>
  <si>
    <t>Cantidad ingresada</t>
  </si>
  <si>
    <t>Costo Unitario</t>
  </si>
  <si>
    <t>Costo total</t>
  </si>
  <si>
    <t>Fecha de ingreso</t>
  </si>
  <si>
    <t>Modalidad de Compra</t>
  </si>
  <si>
    <t>Cantidad unitaria por presentación</t>
  </si>
  <si>
    <t>Observaciones</t>
  </si>
  <si>
    <t>PROSAN S.A</t>
  </si>
  <si>
    <t>VENDA GASA</t>
  </si>
  <si>
    <t>PAQUETE/12 UNIDADES</t>
  </si>
  <si>
    <t>VENDA ELASTICA</t>
  </si>
  <si>
    <t>BODEGA FARMACEUTICA</t>
  </si>
  <si>
    <t>SALBUTAMOL 5 mg / 5ml</t>
  </si>
  <si>
    <t>CAJA/540 GOTERO</t>
  </si>
  <si>
    <t>DROGUERIA REPREMEDH</t>
  </si>
  <si>
    <t>DICLOFENACO 75 mg 3ml</t>
  </si>
  <si>
    <t>CAJA/2400/CAJITA/100</t>
  </si>
  <si>
    <t>SERVICIO DEL COMERCIA INTERNACIONAL S,A</t>
  </si>
  <si>
    <t>CARBETOCINA 100 mg/ml</t>
  </si>
  <si>
    <t>UNIDAD</t>
  </si>
  <si>
    <t>RUIPHARMA S,A</t>
  </si>
  <si>
    <t>SULBUTAMOL SULFATO 120 ml</t>
  </si>
  <si>
    <t>CAJA/144</t>
  </si>
  <si>
    <t>2475546K</t>
  </si>
  <si>
    <t>SUPLIDORA HOSPITALARIA</t>
  </si>
  <si>
    <t>MASCARIA DESCARTABLE</t>
  </si>
  <si>
    <t>CAJA/100</t>
  </si>
  <si>
    <t>PHARMALAT, S.A</t>
  </si>
  <si>
    <t>MULTIVITAMINAS Y MINERALES-Ginseng</t>
  </si>
  <si>
    <t>CAJA/6000 PAQUETE/1000</t>
  </si>
  <si>
    <t>CTLAB</t>
  </si>
  <si>
    <t xml:space="preserve">REACTIVO TIEMPO DE PROTROMBINA (TP) </t>
  </si>
  <si>
    <t>CAJA/24</t>
  </si>
  <si>
    <t>REACTIVO DE TIEMPO PARCIAL DE TROMBOPLASTINA (TPT)</t>
  </si>
  <si>
    <t xml:space="preserve">DISTRIBUIDORA DE PRODUCTOS HOSPITALARIOS S.A. </t>
  </si>
  <si>
    <t>MASCARILLA  N95</t>
  </si>
  <si>
    <t>CAJA/20</t>
  </si>
  <si>
    <t>LABORATORIOS Y DROGUERIA PHARMADEL S,A</t>
  </si>
  <si>
    <t xml:space="preserve">CLOTRIMAZOL OVULO 100 mg </t>
  </si>
  <si>
    <t>CAJA/380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</si>
</sst>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Q&quot;* #,##0.00_-;\-&quot;Q&quot;* #,##0.00_-;_-&quot;Q&quot;* &quot;-&quot;??_-;_-@_-"/>
    <numFmt numFmtId="164" formatCode="[$Q]#,##0.00"/>
    <numFmt numFmtId="165" formatCode="dd/mm/yyyy"/>
    <numFmt numFmtId="166" formatCode="d/m/yyyy"/>
    <numFmt numFmtId="167" formatCode="d/m/yy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ahnschrift SemiBold Condensed"/>
      <family val="2"/>
    </font>
    <font>
      <b/>
      <sz val="11"/>
      <name val="Bahnschrift SemiBold Condensed"/>
      <family val="2"/>
    </font>
    <font>
      <sz val="12"/>
      <color theme="1"/>
      <name val="Aptos Narrow"/>
      <family val="2"/>
      <scheme val="minor"/>
    </font>
    <font>
      <sz val="11"/>
      <color theme="1"/>
      <name val="Bahnschrift SemiBold Condensed"/>
      <family val="2"/>
    </font>
    <font>
      <sz val="11"/>
      <name val="Bahnschrift SemiBold Condensed"/>
      <family val="2"/>
    </font>
    <font>
      <sz val="10"/>
      <color theme="1"/>
      <name val="Arial "/>
    </font>
    <font>
      <b/>
      <sz val="12"/>
      <color theme="1"/>
      <name val="Aptos Narrow"/>
      <family val="2"/>
      <scheme val="minor"/>
    </font>
    <font>
      <sz val="12"/>
      <color theme="1"/>
      <name val="Bahnschrift SemiBold Condensed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 "/>
    </font>
    <font>
      <b/>
      <sz val="10"/>
      <color theme="1"/>
      <name val="Arial Black"/>
      <family val="2"/>
    </font>
    <font>
      <sz val="10"/>
      <color theme="1"/>
      <name val="Arial"/>
      <family val="2"/>
    </font>
    <font>
      <sz val="10"/>
      <color rgb="FF000000"/>
      <name val="Aptos Narrow"/>
      <scheme val="minor"/>
    </font>
    <font>
      <b/>
      <sz val="14"/>
      <color theme="1"/>
      <name val="Twentieth Century"/>
    </font>
    <font>
      <sz val="10"/>
      <color theme="1"/>
      <name val="Aptos Narrow"/>
      <scheme val="minor"/>
    </font>
    <font>
      <sz val="14"/>
      <color theme="1"/>
      <name val="Twentieth Century"/>
    </font>
    <font>
      <b/>
      <sz val="12"/>
      <color rgb="FFFFFFFF"/>
      <name val="Twentieth Century"/>
    </font>
    <font>
      <b/>
      <sz val="12"/>
      <color rgb="FF000000"/>
      <name val="Twentieth Century"/>
    </font>
    <font>
      <b/>
      <sz val="11"/>
      <color rgb="FF000000"/>
      <name val="Calibri"/>
    </font>
    <font>
      <sz val="12"/>
      <color rgb="FF000000"/>
      <name val="Twentieth Century"/>
    </font>
    <font>
      <b/>
      <sz val="13"/>
      <color rgb="FF000000"/>
      <name val="Twentieth Century"/>
    </font>
    <font>
      <b/>
      <sz val="13"/>
      <color theme="1"/>
      <name val="Twentieth Century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6" fillId="0" borderId="0"/>
  </cellStyleXfs>
  <cellXfs count="107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4" fillId="4" borderId="1" xfId="0" applyFont="1" applyFill="1" applyBorder="1" applyAlignment="1" applyProtection="1">
      <alignment horizontal="center" vertical="center" textRotation="255" wrapText="1"/>
      <protection hidden="1"/>
    </xf>
    <xf numFmtId="0" fontId="2" fillId="5" borderId="1" xfId="0" applyFont="1" applyFill="1" applyBorder="1" applyAlignment="1">
      <alignment textRotation="255"/>
    </xf>
    <xf numFmtId="0" fontId="2" fillId="6" borderId="1" xfId="0" applyFont="1" applyFill="1" applyBorder="1" applyAlignment="1">
      <alignment textRotation="255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wrapText="1"/>
    </xf>
    <xf numFmtId="0" fontId="6" fillId="0" borderId="1" xfId="0" applyFont="1" applyBorder="1"/>
    <xf numFmtId="3" fontId="5" fillId="8" borderId="2" xfId="0" applyNumberFormat="1" applyFont="1" applyFill="1" applyBorder="1"/>
    <xf numFmtId="3" fontId="7" fillId="0" borderId="1" xfId="0" applyNumberFormat="1" applyFont="1" applyBorder="1"/>
    <xf numFmtId="0" fontId="8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wrapText="1"/>
    </xf>
    <xf numFmtId="44" fontId="6" fillId="0" borderId="1" xfId="1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6" fillId="0" borderId="1" xfId="1" applyNumberFormat="1" applyFont="1" applyBorder="1"/>
    <xf numFmtId="49" fontId="6" fillId="0" borderId="1" xfId="0" applyNumberFormat="1" applyFont="1" applyBorder="1"/>
    <xf numFmtId="0" fontId="6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11" fontId="6" fillId="0" borderId="1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9" fillId="0" borderId="3" xfId="0" applyFont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8" borderId="1" xfId="0" applyFont="1" applyFill="1" applyBorder="1" applyAlignment="1">
      <alignment wrapText="1"/>
    </xf>
    <xf numFmtId="17" fontId="6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/>
    </xf>
    <xf numFmtId="0" fontId="13" fillId="10" borderId="7" xfId="0" applyFont="1" applyFill="1" applyBorder="1" applyAlignment="1">
      <alignment wrapText="1"/>
    </xf>
    <xf numFmtId="0" fontId="13" fillId="10" borderId="7" xfId="0" applyFont="1" applyFill="1" applyBorder="1" applyAlignment="1">
      <alignment horizontal="center" vertical="center" wrapText="1"/>
    </xf>
    <xf numFmtId="14" fontId="13" fillId="10" borderId="7" xfId="0" applyNumberFormat="1" applyFont="1" applyFill="1" applyBorder="1" applyAlignment="1">
      <alignment horizontal="center" vertical="center" wrapText="1"/>
    </xf>
    <xf numFmtId="44" fontId="13" fillId="10" borderId="7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wrapText="1"/>
    </xf>
    <xf numFmtId="0" fontId="13" fillId="11" borderId="1" xfId="0" applyFont="1" applyFill="1" applyBorder="1" applyAlignment="1">
      <alignment horizontal="center" vertical="center" wrapText="1"/>
    </xf>
    <xf numFmtId="14" fontId="13" fillId="11" borderId="1" xfId="0" applyNumberFormat="1" applyFont="1" applyFill="1" applyBorder="1" applyAlignment="1">
      <alignment horizontal="center" vertical="center" wrapText="1"/>
    </xf>
    <xf numFmtId="44" fontId="13" fillId="11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wrapText="1"/>
    </xf>
    <xf numFmtId="0" fontId="13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44" fontId="13" fillId="10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wrapText="1"/>
    </xf>
    <xf numFmtId="0" fontId="13" fillId="12" borderId="1" xfId="0" applyFont="1" applyFill="1" applyBorder="1" applyAlignment="1">
      <alignment horizontal="center" vertical="center" wrapText="1"/>
    </xf>
    <xf numFmtId="14" fontId="13" fillId="12" borderId="1" xfId="0" applyNumberFormat="1" applyFont="1" applyFill="1" applyBorder="1" applyAlignment="1">
      <alignment horizontal="center" vertical="center" wrapText="1"/>
    </xf>
    <xf numFmtId="44" fontId="13" fillId="12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wrapText="1"/>
    </xf>
    <xf numFmtId="0" fontId="13" fillId="10" borderId="1" xfId="0" applyFont="1" applyFill="1" applyBorder="1" applyAlignment="1">
      <alignment vertical="center" wrapText="1"/>
    </xf>
    <xf numFmtId="49" fontId="13" fillId="12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44" fontId="2" fillId="0" borderId="1" xfId="0" applyNumberFormat="1" applyFont="1" applyBorder="1" applyAlignment="1">
      <alignment horizontal="center" wrapText="1"/>
    </xf>
    <xf numFmtId="44" fontId="14" fillId="0" borderId="1" xfId="0" applyNumberFormat="1" applyFont="1" applyBorder="1" applyAlignment="1">
      <alignment wrapText="1"/>
    </xf>
    <xf numFmtId="0" fontId="15" fillId="0" borderId="0" xfId="0" applyFont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6" fillId="0" borderId="0" xfId="2"/>
    <xf numFmtId="0" fontId="16" fillId="0" borderId="0" xfId="2"/>
    <xf numFmtId="164" fontId="18" fillId="0" borderId="0" xfId="2" applyNumberFormat="1" applyFont="1"/>
    <xf numFmtId="0" fontId="19" fillId="0" borderId="0" xfId="2" applyFont="1" applyAlignment="1">
      <alignment horizontal="center"/>
    </xf>
    <xf numFmtId="0" fontId="20" fillId="13" borderId="8" xfId="2" applyFont="1" applyFill="1" applyBorder="1" applyAlignment="1">
      <alignment horizontal="center" vertical="center" wrapText="1"/>
    </xf>
    <xf numFmtId="0" fontId="20" fillId="13" borderId="8" xfId="2" applyFont="1" applyFill="1" applyBorder="1" applyAlignment="1">
      <alignment vertical="center" wrapText="1"/>
    </xf>
    <xf numFmtId="164" fontId="20" fillId="13" borderId="8" xfId="2" applyNumberFormat="1" applyFont="1" applyFill="1" applyBorder="1" applyAlignment="1">
      <alignment horizontal="center" vertical="center" wrapText="1"/>
    </xf>
    <xf numFmtId="0" fontId="21" fillId="14" borderId="8" xfId="2" applyFont="1" applyFill="1" applyBorder="1" applyAlignment="1">
      <alignment horizontal="center" vertical="center" wrapText="1"/>
    </xf>
    <xf numFmtId="0" fontId="21" fillId="14" borderId="8" xfId="2" applyFont="1" applyFill="1" applyBorder="1" applyAlignment="1">
      <alignment horizontal="left" vertical="center" wrapText="1"/>
    </xf>
    <xf numFmtId="0" fontId="22" fillId="14" borderId="8" xfId="2" applyFont="1" applyFill="1" applyBorder="1" applyAlignment="1">
      <alignment horizontal="center"/>
    </xf>
    <xf numFmtId="3" fontId="21" fillId="14" borderId="8" xfId="2" applyNumberFormat="1" applyFont="1" applyFill="1" applyBorder="1" applyAlignment="1">
      <alignment horizontal="center" vertical="center" wrapText="1"/>
    </xf>
    <xf numFmtId="164" fontId="21" fillId="14" borderId="8" xfId="2" applyNumberFormat="1" applyFont="1" applyFill="1" applyBorder="1" applyAlignment="1">
      <alignment horizontal="center" vertical="center" wrapText="1"/>
    </xf>
    <xf numFmtId="165" fontId="21" fillId="14" borderId="8" xfId="2" applyNumberFormat="1" applyFont="1" applyFill="1" applyBorder="1" applyAlignment="1">
      <alignment horizontal="center" vertical="center" wrapText="1"/>
    </xf>
    <xf numFmtId="0" fontId="23" fillId="14" borderId="8" xfId="2" applyFont="1" applyFill="1" applyBorder="1" applyAlignment="1">
      <alignment horizontal="left" vertical="center" wrapText="1"/>
    </xf>
    <xf numFmtId="0" fontId="24" fillId="14" borderId="8" xfId="2" applyFont="1" applyFill="1" applyBorder="1" applyAlignment="1">
      <alignment horizontal="center" vertical="center" wrapText="1"/>
    </xf>
    <xf numFmtId="0" fontId="25" fillId="14" borderId="8" xfId="2" applyFont="1" applyFill="1" applyBorder="1" applyAlignment="1">
      <alignment horizontal="center"/>
    </xf>
    <xf numFmtId="0" fontId="25" fillId="14" borderId="8" xfId="2" applyFont="1" applyFill="1" applyBorder="1" applyAlignment="1">
      <alignment horizontal="left"/>
    </xf>
    <xf numFmtId="3" fontId="25" fillId="14" borderId="8" xfId="2" applyNumberFormat="1" applyFont="1" applyFill="1" applyBorder="1" applyAlignment="1">
      <alignment horizontal="center"/>
    </xf>
    <xf numFmtId="165" fontId="24" fillId="14" borderId="8" xfId="2" applyNumberFormat="1" applyFont="1" applyFill="1" applyBorder="1" applyAlignment="1">
      <alignment horizontal="center" vertical="center" wrapText="1"/>
    </xf>
    <xf numFmtId="4" fontId="25" fillId="14" borderId="8" xfId="2" applyNumberFormat="1" applyFont="1" applyFill="1" applyBorder="1" applyAlignment="1">
      <alignment horizontal="center"/>
    </xf>
    <xf numFmtId="166" fontId="21" fillId="14" borderId="8" xfId="2" applyNumberFormat="1" applyFont="1" applyFill="1" applyBorder="1" applyAlignment="1">
      <alignment horizontal="left" vertical="center" wrapText="1"/>
    </xf>
    <xf numFmtId="166" fontId="21" fillId="14" borderId="8" xfId="2" applyNumberFormat="1" applyFont="1" applyFill="1" applyBorder="1" applyAlignment="1">
      <alignment horizontal="center" vertical="center" wrapText="1"/>
    </xf>
    <xf numFmtId="0" fontId="23" fillId="14" borderId="8" xfId="2" applyFont="1" applyFill="1" applyBorder="1" applyAlignment="1">
      <alignment horizontal="center" vertical="center" wrapText="1"/>
    </xf>
    <xf numFmtId="0" fontId="26" fillId="14" borderId="8" xfId="2" applyFont="1" applyFill="1" applyBorder="1" applyAlignment="1">
      <alignment horizontal="center"/>
    </xf>
    <xf numFmtId="3" fontId="23" fillId="14" borderId="8" xfId="2" applyNumberFormat="1" applyFont="1" applyFill="1" applyBorder="1" applyAlignment="1">
      <alignment horizontal="center" vertical="center" wrapText="1"/>
    </xf>
    <xf numFmtId="164" fontId="23" fillId="14" borderId="8" xfId="2" applyNumberFormat="1" applyFont="1" applyFill="1" applyBorder="1" applyAlignment="1">
      <alignment horizontal="center" vertical="center" wrapText="1"/>
    </xf>
    <xf numFmtId="166" fontId="23" fillId="14" borderId="8" xfId="2" applyNumberFormat="1" applyFont="1" applyFill="1" applyBorder="1" applyAlignment="1">
      <alignment horizontal="center" vertical="center" wrapText="1"/>
    </xf>
    <xf numFmtId="166" fontId="23" fillId="14" borderId="8" xfId="2" applyNumberFormat="1" applyFont="1" applyFill="1" applyBorder="1" applyAlignment="1">
      <alignment horizontal="left" vertical="center" wrapText="1"/>
    </xf>
    <xf numFmtId="165" fontId="23" fillId="14" borderId="8" xfId="2" applyNumberFormat="1" applyFont="1" applyFill="1" applyBorder="1" applyAlignment="1">
      <alignment horizontal="center" vertical="center" wrapText="1"/>
    </xf>
    <xf numFmtId="167" fontId="21" fillId="14" borderId="8" xfId="2" applyNumberFormat="1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BCFACC28-92EF-4EFF-BE1A-C707B45D7490}"/>
  </cellStyles>
  <dxfs count="4">
    <dxf>
      <fill>
        <patternFill patternType="solid">
          <fgColor rgb="FFD9E6FC"/>
          <bgColor rgb="FFD9E6F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MAYO-style" pivot="0" count="3" xr9:uid="{BC837D45-5E42-4602-A0A1-65C78A187A0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0</xdr:rowOff>
    </xdr:from>
    <xdr:to>
      <xdr:col>1</xdr:col>
      <xdr:colOff>1026583</xdr:colOff>
      <xdr:row>3</xdr:row>
      <xdr:rowOff>242445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14B19F-AEB6-46B4-8613-605DD6AD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4" y="0"/>
          <a:ext cx="1226609" cy="1013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</xdr:col>
      <xdr:colOff>1504950</xdr:colOff>
      <xdr:row>0</xdr:row>
      <xdr:rowOff>561975</xdr:rowOff>
    </xdr:to>
    <xdr:pic>
      <xdr:nvPicPr>
        <xdr:cNvPr id="2" name="Imagen 1" descr="A white sheet of paper with blue and white text&#10;&#10;Description automatically generated">
          <a:extLst>
            <a:ext uri="{FF2B5EF4-FFF2-40B4-BE49-F238E27FC236}">
              <a16:creationId xmlns:a16="http://schemas.microsoft.com/office/drawing/2014/main" id="{1BA079C9-8008-4904-BF55-93489438FCE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2" t="1942" r="64514" b="86731"/>
        <a:stretch/>
      </xdr:blipFill>
      <xdr:spPr bwMode="auto">
        <a:xfrm>
          <a:off x="781050" y="0"/>
          <a:ext cx="1485900" cy="5619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6CBC4-7390-4260-918D-05DE4437CF8A}" name="Table_5" displayName="Table_5" ref="A5:L74">
  <tableColumns count="12">
    <tableColumn id="1" xr3:uid="{586E79CD-985C-4CE9-9248-81FB92F62850}" name="No. de Factura y/o forma de traslado"/>
    <tableColumn id="2" xr3:uid="{8F882576-F293-4522-BC36-0BA24796B5D5}" name="NIT del Proveedor"/>
    <tableColumn id="3" xr3:uid="{6EB0A7BA-B16B-4118-868F-D028DB72B379}" name="Nombre del Proveedor"/>
    <tableColumn id="4" xr3:uid="{4F25DBD3-018C-4EB9-8C0D-A91D50AB2F9B}" name="No. Código del Producto"/>
    <tableColumn id="5" xr3:uid="{5A1CDB1E-87ED-4619-923D-CC9BA3AB149A}" name="Descripción del Producto"/>
    <tableColumn id="6" xr3:uid="{141303FB-8813-4C8F-9D39-EA355C10673A}" name="Cantidad ingresada"/>
    <tableColumn id="7" xr3:uid="{4B5E9C32-8D6D-4CA5-B74D-128948C19B20}" name="Costo Unitario"/>
    <tableColumn id="8" xr3:uid="{9A484150-3771-48EF-BE11-CFC8598A631C}" name="Costo total"/>
    <tableColumn id="9" xr3:uid="{E7049ECB-29C5-44F0-97B8-7D28729FC71C}" name="Fecha de ingreso"/>
    <tableColumn id="10" xr3:uid="{12BCC124-D077-4C75-8697-CFA90810F7D8}" name="Modalidad de Compra"/>
    <tableColumn id="11" xr3:uid="{D8886F99-75F4-41D6-8C7F-5A0FDDCA6E0C}" name="Cantidad unitaria por presentación"/>
    <tableColumn id="12" xr3:uid="{3AE42091-3C28-4A6D-B384-3F732837144E}" name="Observaciones"/>
  </tableColumns>
  <tableStyleInfo name="MAYO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F38D-5273-4906-A4D9-E34422F572EB}">
  <sheetPr>
    <outlinePr summaryBelow="0" summaryRight="0"/>
    <pageSetUpPr fitToPage="1"/>
  </sheetPr>
  <dimension ref="A1:L997"/>
  <sheetViews>
    <sheetView tabSelected="1" workbookViewId="0">
      <selection activeCell="C31" sqref="C31"/>
    </sheetView>
  </sheetViews>
  <sheetFormatPr baseColWidth="10" defaultColWidth="12.5703125" defaultRowHeight="15.75" customHeight="1"/>
  <cols>
    <col min="1" max="1" width="16.28515625" style="78" customWidth="1"/>
    <col min="2" max="2" width="17.5703125" style="78" customWidth="1"/>
    <col min="3" max="3" width="31.42578125" style="78" customWidth="1"/>
    <col min="4" max="4" width="14.28515625" style="78" customWidth="1"/>
    <col min="5" max="5" width="39.28515625" style="78" customWidth="1"/>
    <col min="6" max="7" width="12.5703125" style="78"/>
    <col min="8" max="8" width="16.28515625" style="78" customWidth="1"/>
    <col min="9" max="9" width="21.42578125" style="78" customWidth="1"/>
    <col min="10" max="10" width="24.42578125" style="78" customWidth="1"/>
    <col min="11" max="12" width="30.85546875" style="78" customWidth="1"/>
    <col min="13" max="16384" width="12.5703125" style="78"/>
  </cols>
  <sheetData>
    <row r="1" spans="1:12" ht="15.75" customHeight="1">
      <c r="A1" s="76" t="s">
        <v>344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13.5">
      <c r="G2" s="79"/>
      <c r="H2" s="79"/>
    </row>
    <row r="3" spans="1:12" ht="15.75" customHeight="1">
      <c r="A3" s="80" t="s">
        <v>345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3.5">
      <c r="G4" s="79"/>
      <c r="H4" s="79"/>
    </row>
    <row r="5" spans="1:12" ht="63">
      <c r="A5" s="81" t="s">
        <v>346</v>
      </c>
      <c r="B5" s="81" t="s">
        <v>347</v>
      </c>
      <c r="C5" s="82" t="s">
        <v>348</v>
      </c>
      <c r="D5" s="82" t="s">
        <v>349</v>
      </c>
      <c r="E5" s="81" t="s">
        <v>350</v>
      </c>
      <c r="F5" s="83" t="s">
        <v>351</v>
      </c>
      <c r="G5" s="81" t="s">
        <v>352</v>
      </c>
      <c r="H5" s="83" t="s">
        <v>353</v>
      </c>
      <c r="I5" s="82" t="s">
        <v>354</v>
      </c>
      <c r="J5" s="82" t="s">
        <v>355</v>
      </c>
      <c r="K5" s="82" t="s">
        <v>356</v>
      </c>
      <c r="L5" s="82" t="s">
        <v>357</v>
      </c>
    </row>
    <row r="6" spans="1:12" ht="15.75" customHeight="1">
      <c r="A6" s="84">
        <v>275334304</v>
      </c>
      <c r="B6" s="84">
        <v>41274989</v>
      </c>
      <c r="C6" s="85" t="s">
        <v>358</v>
      </c>
      <c r="D6" s="86"/>
      <c r="E6" s="84" t="s">
        <v>359</v>
      </c>
      <c r="F6" s="87"/>
      <c r="G6" s="88"/>
      <c r="H6" s="88">
        <f t="shared" ref="H6:H27" si="0">G6*F6</f>
        <v>0</v>
      </c>
      <c r="I6" s="89">
        <v>46139</v>
      </c>
      <c r="J6" s="85"/>
      <c r="K6" s="85" t="s">
        <v>360</v>
      </c>
      <c r="L6" s="90"/>
    </row>
    <row r="7" spans="1:12" ht="15.75" customHeight="1">
      <c r="A7" s="84">
        <v>275334304</v>
      </c>
      <c r="B7" s="84">
        <v>41274989</v>
      </c>
      <c r="C7" s="85" t="s">
        <v>358</v>
      </c>
      <c r="D7" s="86"/>
      <c r="E7" s="84" t="s">
        <v>361</v>
      </c>
      <c r="F7" s="87"/>
      <c r="G7" s="88"/>
      <c r="H7" s="88">
        <f t="shared" si="0"/>
        <v>0</v>
      </c>
      <c r="I7" s="89">
        <v>46139</v>
      </c>
      <c r="J7" s="85"/>
      <c r="K7" s="85" t="s">
        <v>360</v>
      </c>
      <c r="L7" s="90"/>
    </row>
    <row r="8" spans="1:12" ht="15.75" customHeight="1">
      <c r="A8" s="84">
        <v>58609269</v>
      </c>
      <c r="B8" s="84">
        <v>4751124</v>
      </c>
      <c r="C8" s="85" t="s">
        <v>362</v>
      </c>
      <c r="D8" s="86"/>
      <c r="E8" s="84" t="s">
        <v>363</v>
      </c>
      <c r="F8" s="87"/>
      <c r="G8" s="88"/>
      <c r="H8" s="88">
        <f t="shared" si="0"/>
        <v>0</v>
      </c>
      <c r="I8" s="89">
        <v>46140</v>
      </c>
      <c r="J8" s="85"/>
      <c r="K8" s="85" t="s">
        <v>364</v>
      </c>
      <c r="L8" s="90"/>
    </row>
    <row r="9" spans="1:12" ht="15.75" customHeight="1">
      <c r="A9" s="84">
        <v>765411989</v>
      </c>
      <c r="B9" s="84">
        <v>8163294</v>
      </c>
      <c r="C9" s="85" t="s">
        <v>365</v>
      </c>
      <c r="D9" s="86"/>
      <c r="E9" s="84" t="s">
        <v>366</v>
      </c>
      <c r="F9" s="87"/>
      <c r="G9" s="88"/>
      <c r="H9" s="88">
        <f t="shared" si="0"/>
        <v>0</v>
      </c>
      <c r="I9" s="89">
        <v>46142</v>
      </c>
      <c r="J9" s="85"/>
      <c r="K9" s="85" t="s">
        <v>367</v>
      </c>
      <c r="L9" s="90"/>
    </row>
    <row r="10" spans="1:12" ht="15.75" customHeight="1">
      <c r="A10" s="84">
        <v>249974221</v>
      </c>
      <c r="B10" s="84">
        <v>22339655</v>
      </c>
      <c r="C10" s="85" t="s">
        <v>368</v>
      </c>
      <c r="D10" s="86"/>
      <c r="E10" s="84" t="s">
        <v>369</v>
      </c>
      <c r="F10" s="87"/>
      <c r="G10" s="88"/>
      <c r="H10" s="88">
        <f t="shared" si="0"/>
        <v>0</v>
      </c>
      <c r="I10" s="89">
        <v>46142</v>
      </c>
      <c r="J10" s="85"/>
      <c r="K10" s="85" t="s">
        <v>370</v>
      </c>
      <c r="L10" s="90"/>
    </row>
    <row r="11" spans="1:12" ht="15.75" customHeight="1">
      <c r="A11" s="84">
        <v>598033515</v>
      </c>
      <c r="B11" s="84">
        <v>5490421</v>
      </c>
      <c r="C11" s="85" t="s">
        <v>371</v>
      </c>
      <c r="D11" s="86"/>
      <c r="E11" s="84" t="s">
        <v>372</v>
      </c>
      <c r="F11" s="87"/>
      <c r="G11" s="88"/>
      <c r="H11" s="88">
        <f t="shared" si="0"/>
        <v>0</v>
      </c>
      <c r="I11" s="89">
        <v>46148</v>
      </c>
      <c r="J11" s="85"/>
      <c r="K11" s="85" t="s">
        <v>373</v>
      </c>
      <c r="L11" s="90"/>
    </row>
    <row r="12" spans="1:12" ht="15.75" customHeight="1">
      <c r="A12" s="84">
        <v>1399800712</v>
      </c>
      <c r="B12" s="84" t="s">
        <v>374</v>
      </c>
      <c r="C12" s="85" t="s">
        <v>375</v>
      </c>
      <c r="D12" s="86"/>
      <c r="E12" s="84" t="s">
        <v>376</v>
      </c>
      <c r="F12" s="87"/>
      <c r="G12" s="88"/>
      <c r="H12" s="88">
        <f t="shared" si="0"/>
        <v>0</v>
      </c>
      <c r="I12" s="89">
        <v>46148</v>
      </c>
      <c r="J12" s="85"/>
      <c r="K12" s="85" t="s">
        <v>377</v>
      </c>
      <c r="L12" s="90"/>
    </row>
    <row r="13" spans="1:12" ht="15.75" customHeight="1">
      <c r="A13" s="91">
        <v>3159591751</v>
      </c>
      <c r="B13" s="92">
        <v>6177999</v>
      </c>
      <c r="C13" s="93" t="s">
        <v>378</v>
      </c>
      <c r="D13" s="93"/>
      <c r="E13" s="93" t="s">
        <v>379</v>
      </c>
      <c r="F13" s="94"/>
      <c r="G13" s="92"/>
      <c r="H13" s="88">
        <f t="shared" si="0"/>
        <v>0</v>
      </c>
      <c r="I13" s="95">
        <v>46149</v>
      </c>
      <c r="J13" s="93"/>
      <c r="K13" s="93" t="s">
        <v>380</v>
      </c>
      <c r="L13" s="90"/>
    </row>
    <row r="14" spans="1:12" ht="15.75" customHeight="1">
      <c r="A14" s="92">
        <v>535118406</v>
      </c>
      <c r="B14" s="92">
        <v>61815519</v>
      </c>
      <c r="C14" s="93" t="s">
        <v>381</v>
      </c>
      <c r="D14" s="93"/>
      <c r="E14" s="93" t="s">
        <v>382</v>
      </c>
      <c r="F14" s="94"/>
      <c r="G14" s="96"/>
      <c r="H14" s="88">
        <f t="shared" si="0"/>
        <v>0</v>
      </c>
      <c r="I14" s="95">
        <v>46160</v>
      </c>
      <c r="J14" s="93"/>
      <c r="K14" s="93" t="s">
        <v>383</v>
      </c>
      <c r="L14" s="90"/>
    </row>
    <row r="15" spans="1:12" ht="15.75" customHeight="1">
      <c r="A15" s="92">
        <v>535118406</v>
      </c>
      <c r="B15" s="92">
        <v>61815519</v>
      </c>
      <c r="C15" s="93" t="s">
        <v>381</v>
      </c>
      <c r="D15" s="86"/>
      <c r="E15" s="84" t="s">
        <v>384</v>
      </c>
      <c r="F15" s="87"/>
      <c r="G15" s="88"/>
      <c r="H15" s="88">
        <f t="shared" si="0"/>
        <v>0</v>
      </c>
      <c r="I15" s="89">
        <v>46160</v>
      </c>
      <c r="J15" s="85"/>
      <c r="K15" s="85" t="s">
        <v>383</v>
      </c>
      <c r="L15" s="90"/>
    </row>
    <row r="16" spans="1:12" ht="15.75" customHeight="1">
      <c r="A16" s="84">
        <v>175852785</v>
      </c>
      <c r="B16" s="84">
        <v>105736856</v>
      </c>
      <c r="C16" s="85" t="s">
        <v>385</v>
      </c>
      <c r="D16" s="86"/>
      <c r="E16" s="84" t="s">
        <v>386</v>
      </c>
      <c r="F16" s="87"/>
      <c r="G16" s="88"/>
      <c r="H16" s="88">
        <f t="shared" si="0"/>
        <v>0</v>
      </c>
      <c r="I16" s="89">
        <v>46163</v>
      </c>
      <c r="J16" s="85"/>
      <c r="K16" s="85" t="s">
        <v>387</v>
      </c>
      <c r="L16" s="90"/>
    </row>
    <row r="17" spans="1:12" ht="15.75" customHeight="1">
      <c r="A17" s="84">
        <v>668813602</v>
      </c>
      <c r="B17" s="84">
        <v>5854229</v>
      </c>
      <c r="C17" s="85" t="s">
        <v>388</v>
      </c>
      <c r="D17" s="86"/>
      <c r="E17" s="84" t="s">
        <v>389</v>
      </c>
      <c r="F17" s="87"/>
      <c r="G17" s="88"/>
      <c r="H17" s="88">
        <f t="shared" si="0"/>
        <v>0</v>
      </c>
      <c r="I17" s="89">
        <v>6693580</v>
      </c>
      <c r="J17" s="85"/>
      <c r="K17" s="85" t="s">
        <v>390</v>
      </c>
      <c r="L17" s="90"/>
    </row>
    <row r="18" spans="1:12" ht="15.75" customHeight="1">
      <c r="A18" s="84"/>
      <c r="B18" s="84"/>
      <c r="C18" s="85"/>
      <c r="D18" s="86"/>
      <c r="E18" s="84"/>
      <c r="F18" s="87"/>
      <c r="G18" s="88"/>
      <c r="H18" s="88">
        <f t="shared" si="0"/>
        <v>0</v>
      </c>
      <c r="I18" s="89"/>
      <c r="J18" s="85"/>
      <c r="K18" s="85"/>
      <c r="L18" s="90"/>
    </row>
    <row r="19" spans="1:12" ht="15.75" customHeight="1">
      <c r="A19" s="84"/>
      <c r="B19" s="84"/>
      <c r="C19" s="85"/>
      <c r="D19" s="86"/>
      <c r="E19" s="84"/>
      <c r="F19" s="87"/>
      <c r="G19" s="88"/>
      <c r="H19" s="88">
        <f t="shared" si="0"/>
        <v>0</v>
      </c>
      <c r="I19" s="89"/>
      <c r="J19" s="85"/>
      <c r="K19" s="85"/>
      <c r="L19" s="90"/>
    </row>
    <row r="20" spans="1:12">
      <c r="A20" s="84"/>
      <c r="B20" s="84"/>
      <c r="C20" s="85"/>
      <c r="D20" s="97"/>
      <c r="E20" s="84"/>
      <c r="F20" s="87"/>
      <c r="G20" s="88"/>
      <c r="H20" s="88">
        <f t="shared" si="0"/>
        <v>0</v>
      </c>
      <c r="I20" s="89"/>
      <c r="J20" s="85"/>
      <c r="K20" s="85"/>
      <c r="L20" s="90"/>
    </row>
    <row r="21" spans="1:12" ht="15.75" customHeight="1">
      <c r="A21" s="84"/>
      <c r="B21" s="84"/>
      <c r="C21" s="85"/>
      <c r="D21" s="86"/>
      <c r="E21" s="84"/>
      <c r="F21" s="87"/>
      <c r="G21" s="88"/>
      <c r="H21" s="88">
        <f t="shared" si="0"/>
        <v>0</v>
      </c>
      <c r="I21" s="89"/>
      <c r="J21" s="85"/>
      <c r="K21" s="85"/>
      <c r="L21" s="90"/>
    </row>
    <row r="22" spans="1:12" ht="15.75" customHeight="1">
      <c r="A22" s="84"/>
      <c r="B22" s="84"/>
      <c r="C22" s="85"/>
      <c r="D22" s="86"/>
      <c r="E22" s="84"/>
      <c r="F22" s="87"/>
      <c r="G22" s="88"/>
      <c r="H22" s="88">
        <f t="shared" si="0"/>
        <v>0</v>
      </c>
      <c r="I22" s="89"/>
      <c r="J22" s="85"/>
      <c r="K22" s="85"/>
      <c r="L22" s="90"/>
    </row>
    <row r="23" spans="1:12" ht="15.75" customHeight="1">
      <c r="A23" s="84"/>
      <c r="B23" s="84"/>
      <c r="C23" s="85"/>
      <c r="D23" s="86"/>
      <c r="E23" s="84"/>
      <c r="F23" s="87"/>
      <c r="G23" s="88"/>
      <c r="H23" s="88">
        <f t="shared" si="0"/>
        <v>0</v>
      </c>
      <c r="I23" s="89"/>
      <c r="J23" s="85"/>
      <c r="K23" s="85"/>
      <c r="L23" s="90"/>
    </row>
    <row r="24" spans="1:12">
      <c r="A24" s="84"/>
      <c r="B24" s="84"/>
      <c r="C24" s="85"/>
      <c r="D24" s="97"/>
      <c r="E24" s="84"/>
      <c r="F24" s="87"/>
      <c r="G24" s="88"/>
      <c r="H24" s="88">
        <f t="shared" si="0"/>
        <v>0</v>
      </c>
      <c r="I24" s="89"/>
      <c r="J24" s="85"/>
      <c r="K24" s="85"/>
      <c r="L24" s="90"/>
    </row>
    <row r="25" spans="1:12">
      <c r="A25" s="84"/>
      <c r="B25" s="84"/>
      <c r="C25" s="85"/>
      <c r="D25" s="97"/>
      <c r="E25" s="84"/>
      <c r="F25" s="87"/>
      <c r="G25" s="88"/>
      <c r="H25" s="88">
        <f t="shared" si="0"/>
        <v>0</v>
      </c>
      <c r="I25" s="89"/>
      <c r="J25" s="85"/>
      <c r="K25" s="85"/>
      <c r="L25" s="90"/>
    </row>
    <row r="26" spans="1:12">
      <c r="A26" s="84"/>
      <c r="B26" s="84"/>
      <c r="C26" s="85"/>
      <c r="D26" s="97"/>
      <c r="E26" s="84"/>
      <c r="F26" s="87"/>
      <c r="G26" s="88"/>
      <c r="H26" s="88">
        <f t="shared" si="0"/>
        <v>0</v>
      </c>
      <c r="I26" s="89"/>
      <c r="J26" s="85"/>
      <c r="K26" s="85"/>
      <c r="L26" s="90"/>
    </row>
    <row r="27" spans="1:12">
      <c r="A27" s="84"/>
      <c r="B27" s="84"/>
      <c r="C27" s="85"/>
      <c r="D27" s="97"/>
      <c r="E27" s="84"/>
      <c r="F27" s="87"/>
      <c r="G27" s="88"/>
      <c r="H27" s="88">
        <f t="shared" si="0"/>
        <v>0</v>
      </c>
      <c r="I27" s="98"/>
      <c r="J27" s="85"/>
      <c r="K27" s="85"/>
      <c r="L27" s="90"/>
    </row>
    <row r="28" spans="1:12">
      <c r="A28" s="84"/>
      <c r="B28" s="84"/>
      <c r="C28" s="85"/>
      <c r="D28" s="97"/>
      <c r="E28" s="84"/>
      <c r="F28" s="87"/>
      <c r="G28" s="88"/>
      <c r="H28" s="88"/>
      <c r="I28" s="98"/>
      <c r="J28" s="85"/>
      <c r="K28" s="85"/>
      <c r="L28" s="90"/>
    </row>
    <row r="29" spans="1:12">
      <c r="A29" s="84"/>
      <c r="B29" s="84"/>
      <c r="C29" s="85"/>
      <c r="D29" s="97"/>
      <c r="E29" s="84"/>
      <c r="F29" s="87"/>
      <c r="G29" s="88"/>
      <c r="H29" s="88"/>
      <c r="I29" s="98"/>
      <c r="J29" s="85"/>
      <c r="K29" s="85"/>
      <c r="L29" s="90"/>
    </row>
    <row r="30" spans="1:12" ht="15.75" customHeight="1">
      <c r="A30" s="84"/>
      <c r="B30" s="84"/>
      <c r="C30" s="85"/>
      <c r="D30" s="86"/>
      <c r="E30" s="84"/>
      <c r="F30" s="87"/>
      <c r="G30" s="88"/>
      <c r="H30" s="88"/>
      <c r="I30" s="89"/>
      <c r="J30" s="85"/>
      <c r="K30" s="85"/>
      <c r="L30" s="90"/>
    </row>
    <row r="31" spans="1:12">
      <c r="A31" s="84"/>
      <c r="B31" s="84"/>
      <c r="C31" s="85"/>
      <c r="D31" s="97"/>
      <c r="E31" s="84"/>
      <c r="F31" s="87"/>
      <c r="G31" s="88"/>
      <c r="H31" s="88"/>
      <c r="I31" s="98"/>
      <c r="J31" s="85"/>
      <c r="K31" s="85"/>
      <c r="L31" s="90"/>
    </row>
    <row r="32" spans="1:12" ht="15.75" customHeight="1">
      <c r="A32" s="84"/>
      <c r="B32" s="84"/>
      <c r="C32" s="85"/>
      <c r="D32" s="86"/>
      <c r="E32" s="84"/>
      <c r="F32" s="87"/>
      <c r="G32" s="88"/>
      <c r="H32" s="88"/>
      <c r="I32" s="98"/>
      <c r="J32" s="85"/>
      <c r="K32" s="85"/>
      <c r="L32" s="90"/>
    </row>
    <row r="33" spans="1:12" ht="15.75" customHeight="1">
      <c r="A33" s="99"/>
      <c r="B33" s="99"/>
      <c r="C33" s="90"/>
      <c r="D33" s="100"/>
      <c r="E33" s="99"/>
      <c r="F33" s="101"/>
      <c r="G33" s="102"/>
      <c r="H33" s="102"/>
      <c r="I33" s="103"/>
      <c r="J33" s="90"/>
      <c r="K33" s="90"/>
      <c r="L33" s="90"/>
    </row>
    <row r="34" spans="1:12" ht="15">
      <c r="A34" s="99"/>
      <c r="B34" s="99"/>
      <c r="C34" s="90"/>
      <c r="D34" s="104"/>
      <c r="E34" s="99"/>
      <c r="F34" s="101"/>
      <c r="G34" s="102"/>
      <c r="H34" s="102"/>
      <c r="I34" s="103"/>
      <c r="J34" s="90"/>
      <c r="K34" s="90"/>
      <c r="L34" s="90"/>
    </row>
    <row r="35" spans="1:12" ht="15.75" customHeight="1">
      <c r="A35" s="99"/>
      <c r="B35" s="99"/>
      <c r="C35" s="90"/>
      <c r="D35" s="100"/>
      <c r="E35" s="99"/>
      <c r="F35" s="101"/>
      <c r="G35" s="102"/>
      <c r="H35" s="102"/>
      <c r="I35" s="103"/>
      <c r="J35" s="90"/>
      <c r="K35" s="90"/>
      <c r="L35" s="90"/>
    </row>
    <row r="36" spans="1:12" ht="15.75" customHeight="1">
      <c r="A36" s="99"/>
      <c r="B36" s="99"/>
      <c r="C36" s="90"/>
      <c r="D36" s="100"/>
      <c r="E36" s="99"/>
      <c r="F36" s="101"/>
      <c r="G36" s="102"/>
      <c r="H36" s="102"/>
      <c r="I36" s="103"/>
      <c r="J36" s="90"/>
      <c r="K36" s="90"/>
      <c r="L36" s="90"/>
    </row>
    <row r="37" spans="1:12" ht="15">
      <c r="A37" s="99"/>
      <c r="B37" s="99"/>
      <c r="C37" s="90"/>
      <c r="D37" s="104"/>
      <c r="E37" s="99"/>
      <c r="F37" s="101"/>
      <c r="G37" s="102"/>
      <c r="H37" s="102"/>
      <c r="I37" s="103"/>
      <c r="J37" s="90"/>
      <c r="K37" s="90"/>
      <c r="L37" s="90"/>
    </row>
    <row r="38" spans="1:12" ht="15">
      <c r="A38" s="99"/>
      <c r="B38" s="99"/>
      <c r="C38" s="90"/>
      <c r="D38" s="104"/>
      <c r="E38" s="99"/>
      <c r="F38" s="101"/>
      <c r="G38" s="102"/>
      <c r="H38" s="102"/>
      <c r="I38" s="103"/>
      <c r="J38" s="90"/>
      <c r="K38" s="90"/>
      <c r="L38" s="90"/>
    </row>
    <row r="39" spans="1:12" ht="15">
      <c r="A39" s="99"/>
      <c r="B39" s="99"/>
      <c r="C39" s="90"/>
      <c r="D39" s="104"/>
      <c r="E39" s="99"/>
      <c r="F39" s="101"/>
      <c r="G39" s="102"/>
      <c r="H39" s="102"/>
      <c r="I39" s="103"/>
      <c r="J39" s="90"/>
      <c r="K39" s="90"/>
      <c r="L39" s="90"/>
    </row>
    <row r="40" spans="1:12" ht="15">
      <c r="A40" s="99"/>
      <c r="B40" s="99"/>
      <c r="C40" s="90"/>
      <c r="D40" s="104"/>
      <c r="E40" s="99"/>
      <c r="F40" s="101"/>
      <c r="G40" s="102"/>
      <c r="H40" s="102"/>
      <c r="I40" s="103"/>
      <c r="J40" s="90"/>
      <c r="K40" s="90"/>
      <c r="L40" s="90"/>
    </row>
    <row r="41" spans="1:12" ht="15">
      <c r="A41" s="99"/>
      <c r="B41" s="99"/>
      <c r="C41" s="90"/>
      <c r="D41" s="104"/>
      <c r="E41" s="99"/>
      <c r="F41" s="101"/>
      <c r="G41" s="102"/>
      <c r="H41" s="102"/>
      <c r="I41" s="103"/>
      <c r="J41" s="90"/>
      <c r="K41" s="90"/>
      <c r="L41" s="90"/>
    </row>
    <row r="42" spans="1:12" ht="15">
      <c r="A42" s="99"/>
      <c r="B42" s="99"/>
      <c r="C42" s="90"/>
      <c r="D42" s="104"/>
      <c r="E42" s="99"/>
      <c r="F42" s="101"/>
      <c r="G42" s="102"/>
      <c r="H42" s="102"/>
      <c r="I42" s="103"/>
      <c r="J42" s="90"/>
      <c r="K42" s="90"/>
      <c r="L42" s="90"/>
    </row>
    <row r="43" spans="1:12" ht="15">
      <c r="A43" s="99"/>
      <c r="B43" s="99"/>
      <c r="C43" s="90"/>
      <c r="D43" s="104"/>
      <c r="E43" s="99"/>
      <c r="F43" s="101"/>
      <c r="G43" s="102"/>
      <c r="H43" s="102"/>
      <c r="I43" s="103"/>
      <c r="J43" s="90"/>
      <c r="K43" s="90"/>
      <c r="L43" s="90"/>
    </row>
    <row r="44" spans="1:12" ht="15">
      <c r="A44" s="99"/>
      <c r="B44" s="99"/>
      <c r="C44" s="90"/>
      <c r="D44" s="104"/>
      <c r="E44" s="99"/>
      <c r="F44" s="101"/>
      <c r="G44" s="102"/>
      <c r="H44" s="102"/>
      <c r="I44" s="103"/>
      <c r="J44" s="90"/>
      <c r="K44" s="90"/>
      <c r="L44" s="90"/>
    </row>
    <row r="45" spans="1:12" ht="15">
      <c r="A45" s="99"/>
      <c r="B45" s="99"/>
      <c r="C45" s="90"/>
      <c r="D45" s="104"/>
      <c r="E45" s="99"/>
      <c r="F45" s="101"/>
      <c r="G45" s="102"/>
      <c r="H45" s="102"/>
      <c r="I45" s="103"/>
      <c r="J45" s="90"/>
      <c r="K45" s="90"/>
      <c r="L45" s="90"/>
    </row>
    <row r="46" spans="1:12" ht="15">
      <c r="A46" s="99"/>
      <c r="B46" s="99"/>
      <c r="C46" s="90"/>
      <c r="D46" s="104"/>
      <c r="E46" s="99"/>
      <c r="F46" s="101"/>
      <c r="G46" s="102"/>
      <c r="H46" s="102"/>
      <c r="I46" s="103"/>
      <c r="J46" s="90"/>
      <c r="K46" s="90"/>
      <c r="L46" s="90"/>
    </row>
    <row r="47" spans="1:12" ht="15">
      <c r="A47" s="99"/>
      <c r="B47" s="99"/>
      <c r="C47" s="90"/>
      <c r="D47" s="104"/>
      <c r="E47" s="99"/>
      <c r="F47" s="101"/>
      <c r="G47" s="102"/>
      <c r="H47" s="102"/>
      <c r="I47" s="105"/>
      <c r="J47" s="90"/>
      <c r="K47" s="90"/>
      <c r="L47" s="90"/>
    </row>
    <row r="48" spans="1:12">
      <c r="A48" s="84"/>
      <c r="B48" s="84"/>
      <c r="C48" s="85"/>
      <c r="D48" s="97"/>
      <c r="E48" s="84"/>
      <c r="F48" s="87"/>
      <c r="G48" s="88"/>
      <c r="H48" s="88"/>
      <c r="I48" s="89"/>
      <c r="J48" s="85"/>
      <c r="K48" s="85"/>
      <c r="L48" s="85"/>
    </row>
    <row r="49" spans="1:12">
      <c r="A49" s="84"/>
      <c r="B49" s="84"/>
      <c r="C49" s="85"/>
      <c r="D49" s="86"/>
      <c r="E49" s="84"/>
      <c r="F49" s="87"/>
      <c r="G49" s="88"/>
      <c r="H49" s="88"/>
      <c r="I49" s="89"/>
      <c r="J49" s="85"/>
      <c r="K49" s="85"/>
      <c r="L49" s="85"/>
    </row>
    <row r="50" spans="1:12">
      <c r="A50" s="84"/>
      <c r="B50" s="84"/>
      <c r="C50" s="85"/>
      <c r="D50" s="86"/>
      <c r="E50" s="84"/>
      <c r="F50" s="87"/>
      <c r="G50" s="88"/>
      <c r="H50" s="88"/>
      <c r="I50" s="89"/>
      <c r="J50" s="85"/>
      <c r="K50" s="85"/>
      <c r="L50" s="85"/>
    </row>
    <row r="51" spans="1:12">
      <c r="A51" s="84"/>
      <c r="B51" s="84"/>
      <c r="C51" s="85"/>
      <c r="D51" s="86"/>
      <c r="E51" s="84"/>
      <c r="F51" s="87"/>
      <c r="G51" s="88"/>
      <c r="H51" s="88"/>
      <c r="I51" s="89"/>
      <c r="J51" s="85"/>
      <c r="K51" s="85"/>
      <c r="L51" s="85"/>
    </row>
    <row r="52" spans="1:12">
      <c r="A52" s="84"/>
      <c r="B52" s="84"/>
      <c r="C52" s="85"/>
      <c r="D52" s="97"/>
      <c r="E52" s="84"/>
      <c r="F52" s="87"/>
      <c r="G52" s="88"/>
      <c r="H52" s="88"/>
      <c r="I52" s="89"/>
      <c r="J52" s="85"/>
      <c r="K52" s="85"/>
      <c r="L52" s="85"/>
    </row>
    <row r="53" spans="1:12">
      <c r="A53" s="84"/>
      <c r="B53" s="84"/>
      <c r="C53" s="85"/>
      <c r="D53" s="97"/>
      <c r="E53" s="84"/>
      <c r="F53" s="87"/>
      <c r="G53" s="88"/>
      <c r="H53" s="88"/>
      <c r="I53" s="89"/>
      <c r="J53" s="85"/>
      <c r="K53" s="85"/>
      <c r="L53" s="85"/>
    </row>
    <row r="54" spans="1:12">
      <c r="A54" s="84"/>
      <c r="B54" s="84"/>
      <c r="C54" s="85"/>
      <c r="D54" s="97"/>
      <c r="E54" s="84"/>
      <c r="F54" s="87"/>
      <c r="G54" s="88"/>
      <c r="H54" s="88"/>
      <c r="I54" s="89"/>
      <c r="J54" s="85"/>
      <c r="K54" s="85"/>
      <c r="L54" s="85"/>
    </row>
    <row r="55" spans="1:12">
      <c r="A55" s="84"/>
      <c r="B55" s="84"/>
      <c r="C55" s="85"/>
      <c r="D55" s="97"/>
      <c r="E55" s="84"/>
      <c r="F55" s="87"/>
      <c r="G55" s="88"/>
      <c r="H55" s="88"/>
      <c r="I55" s="89"/>
      <c r="J55" s="85"/>
      <c r="K55" s="85"/>
      <c r="L55" s="85"/>
    </row>
    <row r="56" spans="1:12">
      <c r="A56" s="84"/>
      <c r="B56" s="84"/>
      <c r="C56" s="85"/>
      <c r="D56" s="97"/>
      <c r="E56" s="84"/>
      <c r="F56" s="87"/>
      <c r="G56" s="88"/>
      <c r="H56" s="88"/>
      <c r="I56" s="89"/>
      <c r="J56" s="85"/>
      <c r="K56" s="85"/>
      <c r="L56" s="85"/>
    </row>
    <row r="57" spans="1:12">
      <c r="A57" s="84"/>
      <c r="B57" s="84"/>
      <c r="C57" s="85"/>
      <c r="D57" s="97"/>
      <c r="E57" s="84"/>
      <c r="F57" s="87"/>
      <c r="G57" s="88"/>
      <c r="H57" s="88"/>
      <c r="I57" s="89"/>
      <c r="J57" s="85"/>
      <c r="K57" s="85"/>
      <c r="L57" s="85"/>
    </row>
    <row r="58" spans="1:12">
      <c r="A58" s="84"/>
      <c r="B58" s="84"/>
      <c r="C58" s="85"/>
      <c r="D58" s="97"/>
      <c r="E58" s="84"/>
      <c r="F58" s="87"/>
      <c r="G58" s="88"/>
      <c r="H58" s="88"/>
      <c r="I58" s="89"/>
      <c r="J58" s="85"/>
      <c r="K58" s="85"/>
      <c r="L58" s="85"/>
    </row>
    <row r="59" spans="1:12">
      <c r="A59" s="84"/>
      <c r="B59" s="84"/>
      <c r="C59" s="85"/>
      <c r="D59" s="97"/>
      <c r="E59" s="84"/>
      <c r="F59" s="87"/>
      <c r="G59" s="88"/>
      <c r="H59" s="88"/>
      <c r="I59" s="89"/>
      <c r="J59" s="85"/>
      <c r="K59" s="85"/>
      <c r="L59" s="85"/>
    </row>
    <row r="60" spans="1:12">
      <c r="A60" s="84"/>
      <c r="B60" s="84"/>
      <c r="C60" s="85"/>
      <c r="D60" s="97"/>
      <c r="E60" s="84"/>
      <c r="F60" s="87"/>
      <c r="G60" s="88"/>
      <c r="H60" s="88"/>
      <c r="I60" s="89"/>
      <c r="J60" s="85"/>
      <c r="K60" s="85"/>
      <c r="L60" s="85"/>
    </row>
    <row r="61" spans="1:12">
      <c r="A61" s="84"/>
      <c r="B61" s="84"/>
      <c r="C61" s="85"/>
      <c r="D61" s="97"/>
      <c r="E61" s="84"/>
      <c r="F61" s="87"/>
      <c r="G61" s="88"/>
      <c r="H61" s="88"/>
      <c r="I61" s="89"/>
      <c r="J61" s="85"/>
      <c r="K61" s="85"/>
      <c r="L61" s="85"/>
    </row>
    <row r="62" spans="1:12">
      <c r="A62" s="84"/>
      <c r="B62" s="84"/>
      <c r="C62" s="85"/>
      <c r="D62" s="97"/>
      <c r="E62" s="84"/>
      <c r="F62" s="87"/>
      <c r="G62" s="88"/>
      <c r="H62" s="88"/>
      <c r="I62" s="89"/>
      <c r="J62" s="85"/>
      <c r="K62" s="85"/>
      <c r="L62" s="85"/>
    </row>
    <row r="63" spans="1:12">
      <c r="A63" s="84"/>
      <c r="B63" s="84"/>
      <c r="C63" s="85"/>
      <c r="D63" s="97"/>
      <c r="E63" s="84"/>
      <c r="F63" s="87"/>
      <c r="G63" s="88"/>
      <c r="H63" s="88"/>
      <c r="I63" s="89"/>
      <c r="J63" s="85"/>
      <c r="K63" s="85"/>
      <c r="L63" s="85"/>
    </row>
    <row r="64" spans="1:12">
      <c r="A64" s="84"/>
      <c r="B64" s="84"/>
      <c r="C64" s="85"/>
      <c r="D64" s="97"/>
      <c r="E64" s="84"/>
      <c r="F64" s="87"/>
      <c r="G64" s="88"/>
      <c r="H64" s="88"/>
      <c r="I64" s="89"/>
      <c r="J64" s="85"/>
      <c r="K64" s="85"/>
      <c r="L64" s="85"/>
    </row>
    <row r="65" spans="1:12">
      <c r="A65" s="84"/>
      <c r="B65" s="84"/>
      <c r="C65" s="85"/>
      <c r="D65" s="97"/>
      <c r="E65" s="84"/>
      <c r="F65" s="87"/>
      <c r="G65" s="88"/>
      <c r="H65" s="88"/>
      <c r="I65" s="106"/>
      <c r="J65" s="85"/>
      <c r="K65" s="85"/>
      <c r="L65" s="85"/>
    </row>
    <row r="66" spans="1:12">
      <c r="A66" s="84"/>
      <c r="B66" s="84"/>
      <c r="C66" s="85"/>
      <c r="D66" s="97"/>
      <c r="E66" s="84"/>
      <c r="F66" s="87"/>
      <c r="G66" s="88"/>
      <c r="H66" s="88"/>
      <c r="I66" s="89"/>
      <c r="J66" s="85"/>
      <c r="K66" s="85"/>
      <c r="L66" s="85"/>
    </row>
    <row r="67" spans="1:12">
      <c r="A67" s="84"/>
      <c r="B67" s="84"/>
      <c r="C67" s="85"/>
      <c r="D67" s="97"/>
      <c r="E67" s="84"/>
      <c r="F67" s="87"/>
      <c r="G67" s="88"/>
      <c r="H67" s="88"/>
      <c r="I67" s="89"/>
      <c r="J67" s="85"/>
      <c r="K67" s="85"/>
      <c r="L67" s="85"/>
    </row>
    <row r="68" spans="1:12">
      <c r="A68" s="84"/>
      <c r="B68" s="84"/>
      <c r="C68" s="85"/>
      <c r="D68" s="97"/>
      <c r="E68" s="84"/>
      <c r="F68" s="87"/>
      <c r="G68" s="88"/>
      <c r="H68" s="88"/>
      <c r="I68" s="89"/>
      <c r="J68" s="85"/>
      <c r="K68" s="85"/>
      <c r="L68" s="85"/>
    </row>
    <row r="69" spans="1:12">
      <c r="A69" s="98"/>
      <c r="B69" s="84"/>
      <c r="C69" s="85"/>
      <c r="D69" s="97"/>
      <c r="E69" s="84"/>
      <c r="F69" s="87"/>
      <c r="G69" s="88"/>
      <c r="H69" s="88"/>
      <c r="I69" s="84"/>
      <c r="J69" s="85"/>
      <c r="K69" s="85"/>
      <c r="L69" s="85"/>
    </row>
    <row r="70" spans="1:12">
      <c r="A70" s="98"/>
      <c r="B70" s="84"/>
      <c r="C70" s="85"/>
      <c r="D70" s="97"/>
      <c r="E70" s="84"/>
      <c r="F70" s="87"/>
      <c r="G70" s="88"/>
      <c r="H70" s="88"/>
      <c r="I70" s="84"/>
      <c r="J70" s="85"/>
      <c r="K70" s="85"/>
      <c r="L70" s="85"/>
    </row>
    <row r="71" spans="1:12">
      <c r="A71" s="98"/>
      <c r="B71" s="84"/>
      <c r="C71" s="85"/>
      <c r="D71" s="97"/>
      <c r="E71" s="84"/>
      <c r="F71" s="87"/>
      <c r="G71" s="88"/>
      <c r="H71" s="88"/>
      <c r="I71" s="84"/>
      <c r="J71" s="85"/>
      <c r="K71" s="85"/>
      <c r="L71" s="85"/>
    </row>
    <row r="72" spans="1:12">
      <c r="A72" s="98"/>
      <c r="B72" s="84"/>
      <c r="C72" s="85"/>
      <c r="D72" s="97"/>
      <c r="E72" s="84"/>
      <c r="F72" s="87"/>
      <c r="G72" s="88"/>
      <c r="H72" s="88"/>
      <c r="I72" s="84"/>
      <c r="J72" s="85"/>
      <c r="K72" s="85"/>
      <c r="L72" s="85"/>
    </row>
    <row r="73" spans="1:12">
      <c r="A73" s="98"/>
      <c r="B73" s="84"/>
      <c r="C73" s="85"/>
      <c r="D73" s="97"/>
      <c r="E73" s="84"/>
      <c r="F73" s="87"/>
      <c r="G73" s="88"/>
      <c r="H73" s="88"/>
      <c r="I73" s="84"/>
      <c r="J73" s="85"/>
      <c r="K73" s="85"/>
      <c r="L73" s="85"/>
    </row>
    <row r="74" spans="1:12">
      <c r="A74" s="98"/>
      <c r="B74" s="84"/>
      <c r="C74" s="85"/>
      <c r="D74" s="97"/>
      <c r="E74" s="84"/>
      <c r="F74" s="87"/>
      <c r="G74" s="88"/>
      <c r="H74" s="88"/>
      <c r="I74" s="84"/>
      <c r="J74" s="85"/>
      <c r="K74" s="85"/>
      <c r="L74" s="85"/>
    </row>
    <row r="75" spans="1:12" ht="13.5"/>
    <row r="76" spans="1:12" ht="13.5"/>
    <row r="77" spans="1:12" ht="13.5"/>
    <row r="78" spans="1:12" ht="13.5"/>
    <row r="79" spans="1:12" ht="13.5"/>
    <row r="80" spans="1:12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  <row r="137" ht="13.5"/>
    <row r="138" ht="13.5"/>
    <row r="139" ht="13.5"/>
    <row r="140" ht="13.5"/>
    <row r="141" ht="13.5"/>
    <row r="142" ht="13.5"/>
    <row r="143" ht="13.5"/>
    <row r="144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  <row r="187" ht="13.5"/>
    <row r="188" ht="13.5"/>
    <row r="189" ht="13.5"/>
    <row r="190" ht="13.5"/>
    <row r="191" ht="13.5"/>
    <row r="192" ht="13.5"/>
    <row r="193" ht="13.5"/>
    <row r="194" ht="13.5"/>
    <row r="195" ht="13.5"/>
    <row r="196" ht="13.5"/>
    <row r="197" ht="13.5"/>
    <row r="198" ht="13.5"/>
    <row r="199" ht="13.5"/>
    <row r="200" ht="13.5"/>
    <row r="201" ht="13.5"/>
    <row r="202" ht="13.5"/>
    <row r="203" ht="13.5"/>
    <row r="204" ht="13.5"/>
    <row r="205" ht="13.5"/>
    <row r="206" ht="13.5"/>
    <row r="207" ht="13.5"/>
    <row r="208" ht="13.5"/>
    <row r="209" ht="13.5"/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  <row r="231" ht="13.5"/>
    <row r="232" ht="13.5"/>
    <row r="233" ht="13.5"/>
    <row r="234" ht="13.5"/>
    <row r="235" ht="13.5"/>
    <row r="236" ht="13.5"/>
    <row r="237" ht="13.5"/>
    <row r="238" ht="13.5"/>
    <row r="239" ht="13.5"/>
    <row r="240" ht="13.5"/>
    <row r="241" ht="13.5"/>
    <row r="242" ht="13.5"/>
    <row r="243" ht="13.5"/>
    <row r="244" ht="13.5"/>
    <row r="245" ht="13.5"/>
    <row r="246" ht="13.5"/>
    <row r="247" ht="13.5"/>
    <row r="248" ht="13.5"/>
    <row r="249" ht="13.5"/>
    <row r="250" ht="13.5"/>
    <row r="251" ht="13.5"/>
    <row r="252" ht="13.5"/>
    <row r="253" ht="13.5"/>
    <row r="254" ht="13.5"/>
    <row r="255" ht="13.5"/>
    <row r="256" ht="13.5"/>
    <row r="257" ht="13.5"/>
    <row r="258" ht="13.5"/>
    <row r="259" ht="13.5"/>
    <row r="260" ht="13.5"/>
    <row r="261" ht="13.5"/>
    <row r="262" ht="13.5"/>
    <row r="263" ht="13.5"/>
    <row r="264" ht="13.5"/>
    <row r="265" ht="13.5"/>
    <row r="266" ht="13.5"/>
    <row r="267" ht="13.5"/>
    <row r="268" ht="13.5"/>
    <row r="269" ht="13.5"/>
    <row r="270" ht="13.5"/>
    <row r="271" ht="13.5"/>
    <row r="272" ht="13.5"/>
    <row r="273" ht="13.5"/>
    <row r="274" ht="13.5"/>
    <row r="275" ht="13.5"/>
    <row r="276" ht="13.5"/>
    <row r="277" ht="13.5"/>
    <row r="278" ht="13.5"/>
    <row r="279" ht="13.5"/>
    <row r="280" ht="13.5"/>
    <row r="281" ht="13.5"/>
    <row r="282" ht="13.5"/>
    <row r="283" ht="13.5"/>
    <row r="284" ht="13.5"/>
    <row r="285" ht="13.5"/>
    <row r="286" ht="13.5"/>
    <row r="287" ht="13.5"/>
    <row r="288" ht="13.5"/>
    <row r="289" ht="13.5"/>
    <row r="290" ht="13.5"/>
    <row r="291" ht="13.5"/>
    <row r="292" ht="13.5"/>
    <row r="293" ht="13.5"/>
    <row r="294" ht="13.5"/>
    <row r="295" ht="13.5"/>
    <row r="296" ht="13.5"/>
    <row r="297" ht="13.5"/>
    <row r="298" ht="13.5"/>
    <row r="299" ht="13.5"/>
    <row r="300" ht="13.5"/>
    <row r="301" ht="13.5"/>
    <row r="302" ht="13.5"/>
    <row r="303" ht="13.5"/>
    <row r="304" ht="13.5"/>
    <row r="305" ht="13.5"/>
    <row r="306" ht="13.5"/>
    <row r="307" ht="13.5"/>
    <row r="308" ht="13.5"/>
    <row r="309" ht="13.5"/>
    <row r="310" ht="13.5"/>
    <row r="311" ht="13.5"/>
    <row r="312" ht="13.5"/>
    <row r="313" ht="13.5"/>
    <row r="314" ht="13.5"/>
    <row r="315" ht="13.5"/>
    <row r="316" ht="13.5"/>
    <row r="317" ht="13.5"/>
    <row r="318" ht="13.5"/>
    <row r="319" ht="13.5"/>
    <row r="320" ht="13.5"/>
    <row r="321" ht="13.5"/>
    <row r="322" ht="13.5"/>
    <row r="323" ht="13.5"/>
    <row r="324" ht="13.5"/>
    <row r="325" ht="13.5"/>
    <row r="326" ht="13.5"/>
    <row r="327" ht="13.5"/>
    <row r="328" ht="13.5"/>
    <row r="329" ht="13.5"/>
    <row r="330" ht="13.5"/>
    <row r="331" ht="13.5"/>
    <row r="332" ht="13.5"/>
    <row r="333" ht="13.5"/>
    <row r="334" ht="13.5"/>
    <row r="335" ht="13.5"/>
    <row r="336" ht="13.5"/>
    <row r="337" ht="13.5"/>
    <row r="338" ht="13.5"/>
    <row r="339" ht="13.5"/>
    <row r="340" ht="13.5"/>
    <row r="341" ht="13.5"/>
    <row r="342" ht="13.5"/>
    <row r="343" ht="13.5"/>
    <row r="344" ht="13.5"/>
    <row r="345" ht="13.5"/>
    <row r="346" ht="13.5"/>
    <row r="347" ht="13.5"/>
    <row r="348" ht="13.5"/>
    <row r="349" ht="13.5"/>
    <row r="350" ht="13.5"/>
    <row r="351" ht="13.5"/>
    <row r="352" ht="13.5"/>
    <row r="353" ht="13.5"/>
    <row r="354" ht="13.5"/>
    <row r="355" ht="13.5"/>
    <row r="356" ht="13.5"/>
    <row r="357" ht="13.5"/>
    <row r="358" ht="13.5"/>
    <row r="359" ht="13.5"/>
    <row r="360" ht="13.5"/>
    <row r="361" ht="13.5"/>
    <row r="362" ht="13.5"/>
    <row r="363" ht="13.5"/>
    <row r="364" ht="13.5"/>
    <row r="365" ht="13.5"/>
    <row r="366" ht="13.5"/>
    <row r="367" ht="13.5"/>
    <row r="368" ht="13.5"/>
    <row r="369" ht="13.5"/>
    <row r="370" ht="13.5"/>
    <row r="371" ht="13.5"/>
    <row r="372" ht="13.5"/>
    <row r="373" ht="13.5"/>
    <row r="374" ht="13.5"/>
    <row r="375" ht="13.5"/>
    <row r="376" ht="13.5"/>
    <row r="377" ht="13.5"/>
    <row r="378" ht="13.5"/>
    <row r="379" ht="13.5"/>
    <row r="380" ht="13.5"/>
    <row r="381" ht="13.5"/>
    <row r="382" ht="13.5"/>
    <row r="383" ht="13.5"/>
    <row r="384" ht="13.5"/>
    <row r="385" ht="13.5"/>
    <row r="386" ht="13.5"/>
    <row r="387" ht="13.5"/>
    <row r="388" ht="13.5"/>
    <row r="389" ht="13.5"/>
    <row r="390" ht="13.5"/>
    <row r="391" ht="13.5"/>
    <row r="392" ht="13.5"/>
    <row r="393" ht="13.5"/>
    <row r="394" ht="13.5"/>
    <row r="395" ht="13.5"/>
    <row r="396" ht="13.5"/>
    <row r="397" ht="13.5"/>
    <row r="398" ht="13.5"/>
    <row r="399" ht="13.5"/>
    <row r="400" ht="13.5"/>
    <row r="401" ht="13.5"/>
    <row r="402" ht="13.5"/>
    <row r="403" ht="13.5"/>
    <row r="404" ht="13.5"/>
    <row r="405" ht="13.5"/>
    <row r="406" ht="13.5"/>
    <row r="407" ht="13.5"/>
    <row r="408" ht="13.5"/>
    <row r="409" ht="13.5"/>
    <row r="410" ht="13.5"/>
    <row r="411" ht="13.5"/>
    <row r="412" ht="13.5"/>
    <row r="413" ht="13.5"/>
    <row r="414" ht="13.5"/>
    <row r="415" ht="13.5"/>
    <row r="416" ht="13.5"/>
    <row r="417" ht="13.5"/>
    <row r="418" ht="13.5"/>
    <row r="419" ht="13.5"/>
    <row r="420" ht="13.5"/>
    <row r="421" ht="13.5"/>
    <row r="422" ht="13.5"/>
    <row r="423" ht="13.5"/>
    <row r="424" ht="13.5"/>
    <row r="425" ht="13.5"/>
    <row r="426" ht="13.5"/>
    <row r="427" ht="13.5"/>
    <row r="428" ht="13.5"/>
    <row r="429" ht="13.5"/>
    <row r="430" ht="13.5"/>
    <row r="431" ht="13.5"/>
    <row r="432" ht="13.5"/>
    <row r="433" ht="13.5"/>
    <row r="434" ht="13.5"/>
    <row r="435" ht="13.5"/>
    <row r="436" ht="13.5"/>
    <row r="437" ht="13.5"/>
    <row r="438" ht="13.5"/>
    <row r="439" ht="13.5"/>
    <row r="440" ht="13.5"/>
    <row r="441" ht="13.5"/>
    <row r="442" ht="13.5"/>
    <row r="443" ht="13.5"/>
    <row r="444" ht="13.5"/>
    <row r="445" ht="13.5"/>
    <row r="446" ht="13.5"/>
    <row r="447" ht="13.5"/>
    <row r="448" ht="13.5"/>
    <row r="449" ht="13.5"/>
    <row r="450" ht="13.5"/>
    <row r="451" ht="13.5"/>
    <row r="452" ht="13.5"/>
    <row r="453" ht="13.5"/>
    <row r="454" ht="13.5"/>
    <row r="455" ht="13.5"/>
    <row r="456" ht="13.5"/>
    <row r="457" ht="13.5"/>
    <row r="458" ht="13.5"/>
    <row r="459" ht="13.5"/>
    <row r="460" ht="13.5"/>
    <row r="461" ht="13.5"/>
    <row r="462" ht="13.5"/>
    <row r="463" ht="13.5"/>
    <row r="464" ht="13.5"/>
    <row r="465" ht="13.5"/>
    <row r="466" ht="13.5"/>
    <row r="467" ht="13.5"/>
    <row r="468" ht="13.5"/>
    <row r="469" ht="13.5"/>
    <row r="470" ht="13.5"/>
    <row r="471" ht="13.5"/>
    <row r="472" ht="13.5"/>
    <row r="473" ht="13.5"/>
    <row r="474" ht="13.5"/>
    <row r="475" ht="13.5"/>
    <row r="476" ht="13.5"/>
    <row r="477" ht="13.5"/>
    <row r="478" ht="13.5"/>
    <row r="479" ht="13.5"/>
    <row r="480" ht="13.5"/>
    <row r="481" ht="13.5"/>
    <row r="482" ht="13.5"/>
    <row r="483" ht="13.5"/>
    <row r="484" ht="13.5"/>
    <row r="485" ht="13.5"/>
    <row r="486" ht="13.5"/>
    <row r="487" ht="13.5"/>
    <row r="488" ht="13.5"/>
    <row r="489" ht="13.5"/>
    <row r="490" ht="13.5"/>
    <row r="491" ht="13.5"/>
    <row r="492" ht="13.5"/>
    <row r="493" ht="13.5"/>
    <row r="494" ht="13.5"/>
    <row r="495" ht="13.5"/>
    <row r="496" ht="13.5"/>
    <row r="497" ht="13.5"/>
    <row r="498" ht="13.5"/>
    <row r="499" ht="13.5"/>
    <row r="500" ht="13.5"/>
    <row r="501" ht="13.5"/>
    <row r="502" ht="13.5"/>
    <row r="503" ht="13.5"/>
    <row r="504" ht="13.5"/>
    <row r="505" ht="13.5"/>
    <row r="506" ht="13.5"/>
    <row r="507" ht="13.5"/>
    <row r="508" ht="13.5"/>
    <row r="509" ht="13.5"/>
    <row r="510" ht="13.5"/>
    <row r="511" ht="13.5"/>
    <row r="512" ht="13.5"/>
    <row r="513" ht="13.5"/>
    <row r="514" ht="13.5"/>
    <row r="515" ht="13.5"/>
    <row r="516" ht="13.5"/>
    <row r="517" ht="13.5"/>
    <row r="518" ht="13.5"/>
    <row r="519" ht="13.5"/>
    <row r="520" ht="13.5"/>
    <row r="521" ht="13.5"/>
    <row r="522" ht="13.5"/>
    <row r="523" ht="13.5"/>
    <row r="524" ht="13.5"/>
    <row r="525" ht="13.5"/>
    <row r="526" ht="13.5"/>
    <row r="527" ht="13.5"/>
    <row r="528" ht="13.5"/>
    <row r="529" ht="13.5"/>
    <row r="530" ht="13.5"/>
    <row r="531" ht="13.5"/>
    <row r="532" ht="13.5"/>
    <row r="533" ht="13.5"/>
    <row r="534" ht="13.5"/>
    <row r="535" ht="13.5"/>
    <row r="536" ht="13.5"/>
    <row r="537" ht="13.5"/>
    <row r="538" ht="13.5"/>
    <row r="539" ht="13.5"/>
    <row r="540" ht="13.5"/>
    <row r="541" ht="13.5"/>
    <row r="542" ht="13.5"/>
    <row r="543" ht="13.5"/>
    <row r="544" ht="13.5"/>
    <row r="545" ht="13.5"/>
    <row r="546" ht="13.5"/>
    <row r="547" ht="13.5"/>
    <row r="548" ht="13.5"/>
    <row r="549" ht="13.5"/>
    <row r="550" ht="13.5"/>
    <row r="551" ht="13.5"/>
    <row r="552" ht="13.5"/>
    <row r="553" ht="13.5"/>
    <row r="554" ht="13.5"/>
    <row r="555" ht="13.5"/>
    <row r="556" ht="13.5"/>
    <row r="557" ht="13.5"/>
    <row r="558" ht="13.5"/>
    <row r="559" ht="13.5"/>
    <row r="560" ht="13.5"/>
    <row r="561" ht="13.5"/>
    <row r="562" ht="13.5"/>
    <row r="563" ht="13.5"/>
    <row r="564" ht="13.5"/>
    <row r="565" ht="13.5"/>
    <row r="566" ht="13.5"/>
    <row r="567" ht="13.5"/>
    <row r="568" ht="13.5"/>
    <row r="569" ht="13.5"/>
    <row r="570" ht="13.5"/>
    <row r="571" ht="13.5"/>
    <row r="572" ht="13.5"/>
    <row r="573" ht="13.5"/>
    <row r="574" ht="13.5"/>
    <row r="575" ht="13.5"/>
    <row r="576" ht="13.5"/>
    <row r="577" ht="13.5"/>
    <row r="578" ht="13.5"/>
    <row r="579" ht="13.5"/>
    <row r="580" ht="13.5"/>
    <row r="581" ht="13.5"/>
    <row r="582" ht="13.5"/>
    <row r="583" ht="13.5"/>
    <row r="584" ht="13.5"/>
    <row r="585" ht="13.5"/>
    <row r="586" ht="13.5"/>
    <row r="587" ht="13.5"/>
    <row r="588" ht="13.5"/>
    <row r="589" ht="13.5"/>
    <row r="590" ht="13.5"/>
    <row r="591" ht="13.5"/>
    <row r="592" ht="13.5"/>
    <row r="593" ht="13.5"/>
    <row r="594" ht="13.5"/>
    <row r="595" ht="13.5"/>
    <row r="596" ht="13.5"/>
    <row r="597" ht="13.5"/>
    <row r="598" ht="13.5"/>
    <row r="599" ht="13.5"/>
    <row r="600" ht="13.5"/>
    <row r="601" ht="13.5"/>
    <row r="602" ht="13.5"/>
    <row r="603" ht="13.5"/>
    <row r="604" ht="13.5"/>
    <row r="605" ht="13.5"/>
    <row r="606" ht="13.5"/>
    <row r="607" ht="13.5"/>
    <row r="608" ht="13.5"/>
    <row r="609" ht="13.5"/>
    <row r="610" ht="13.5"/>
    <row r="611" ht="13.5"/>
    <row r="612" ht="13.5"/>
    <row r="613" ht="13.5"/>
    <row r="614" ht="13.5"/>
    <row r="615" ht="13.5"/>
    <row r="616" ht="13.5"/>
    <row r="617" ht="13.5"/>
    <row r="618" ht="13.5"/>
    <row r="619" ht="13.5"/>
    <row r="620" ht="13.5"/>
    <row r="621" ht="13.5"/>
    <row r="622" ht="13.5"/>
    <row r="623" ht="13.5"/>
    <row r="624" ht="13.5"/>
    <row r="625" ht="13.5"/>
    <row r="626" ht="13.5"/>
    <row r="627" ht="13.5"/>
    <row r="628" ht="13.5"/>
    <row r="629" ht="13.5"/>
    <row r="630" ht="13.5"/>
    <row r="631" ht="13.5"/>
    <row r="632" ht="13.5"/>
    <row r="633" ht="13.5"/>
    <row r="634" ht="13.5"/>
    <row r="635" ht="13.5"/>
    <row r="636" ht="13.5"/>
    <row r="637" ht="13.5"/>
    <row r="638" ht="13.5"/>
    <row r="639" ht="13.5"/>
    <row r="640" ht="13.5"/>
    <row r="641" ht="13.5"/>
    <row r="642" ht="13.5"/>
    <row r="643" ht="13.5"/>
    <row r="644" ht="13.5"/>
    <row r="645" ht="13.5"/>
    <row r="646" ht="13.5"/>
    <row r="647" ht="13.5"/>
    <row r="648" ht="13.5"/>
    <row r="649" ht="13.5"/>
    <row r="650" ht="13.5"/>
    <row r="651" ht="13.5"/>
    <row r="652" ht="13.5"/>
    <row r="653" ht="13.5"/>
    <row r="654" ht="13.5"/>
    <row r="655" ht="13.5"/>
    <row r="656" ht="13.5"/>
    <row r="657" ht="13.5"/>
    <row r="658" ht="13.5"/>
    <row r="659" ht="13.5"/>
    <row r="660" ht="13.5"/>
    <row r="661" ht="13.5"/>
    <row r="662" ht="13.5"/>
    <row r="663" ht="13.5"/>
    <row r="664" ht="13.5"/>
    <row r="665" ht="13.5"/>
    <row r="666" ht="13.5"/>
    <row r="667" ht="13.5"/>
    <row r="668" ht="13.5"/>
    <row r="669" ht="13.5"/>
    <row r="670" ht="13.5"/>
    <row r="671" ht="13.5"/>
    <row r="672" ht="13.5"/>
    <row r="673" ht="13.5"/>
    <row r="674" ht="13.5"/>
    <row r="675" ht="13.5"/>
    <row r="676" ht="13.5"/>
    <row r="677" ht="13.5"/>
    <row r="678" ht="13.5"/>
    <row r="679" ht="13.5"/>
    <row r="680" ht="13.5"/>
    <row r="681" ht="13.5"/>
    <row r="682" ht="13.5"/>
    <row r="683" ht="13.5"/>
    <row r="684" ht="13.5"/>
    <row r="685" ht="13.5"/>
    <row r="686" ht="13.5"/>
    <row r="687" ht="13.5"/>
    <row r="688" ht="13.5"/>
    <row r="689" ht="13.5"/>
    <row r="690" ht="13.5"/>
    <row r="691" ht="13.5"/>
    <row r="692" ht="13.5"/>
    <row r="693" ht="13.5"/>
    <row r="694" ht="13.5"/>
    <row r="695" ht="13.5"/>
    <row r="696" ht="13.5"/>
    <row r="697" ht="13.5"/>
    <row r="698" ht="13.5"/>
    <row r="699" ht="13.5"/>
    <row r="700" ht="13.5"/>
    <row r="701" ht="13.5"/>
    <row r="702" ht="13.5"/>
    <row r="703" ht="13.5"/>
    <row r="704" ht="13.5"/>
    <row r="705" ht="13.5"/>
    <row r="706" ht="13.5"/>
    <row r="707" ht="13.5"/>
    <row r="708" ht="13.5"/>
    <row r="709" ht="13.5"/>
    <row r="710" ht="13.5"/>
    <row r="711" ht="13.5"/>
    <row r="712" ht="13.5"/>
    <row r="713" ht="13.5"/>
    <row r="714" ht="13.5"/>
    <row r="715" ht="13.5"/>
    <row r="716" ht="13.5"/>
    <row r="717" ht="13.5"/>
    <row r="718" ht="13.5"/>
    <row r="719" ht="13.5"/>
    <row r="720" ht="13.5"/>
    <row r="721" ht="13.5"/>
    <row r="722" ht="13.5"/>
    <row r="723" ht="13.5"/>
    <row r="724" ht="13.5"/>
    <row r="725" ht="13.5"/>
    <row r="726" ht="13.5"/>
    <row r="727" ht="13.5"/>
    <row r="728" ht="13.5"/>
    <row r="729" ht="13.5"/>
    <row r="730" ht="13.5"/>
    <row r="731" ht="13.5"/>
    <row r="732" ht="13.5"/>
    <row r="733" ht="13.5"/>
    <row r="734" ht="13.5"/>
    <row r="735" ht="13.5"/>
    <row r="736" ht="13.5"/>
    <row r="737" ht="13.5"/>
    <row r="738" ht="13.5"/>
    <row r="739" ht="13.5"/>
    <row r="740" ht="13.5"/>
    <row r="741" ht="13.5"/>
    <row r="742" ht="13.5"/>
    <row r="743" ht="13.5"/>
    <row r="744" ht="13.5"/>
    <row r="745" ht="13.5"/>
    <row r="746" ht="13.5"/>
    <row r="747" ht="13.5"/>
    <row r="748" ht="13.5"/>
    <row r="749" ht="13.5"/>
    <row r="750" ht="13.5"/>
    <row r="751" ht="13.5"/>
    <row r="752" ht="13.5"/>
    <row r="753" ht="13.5"/>
    <row r="754" ht="13.5"/>
    <row r="755" ht="13.5"/>
    <row r="756" ht="13.5"/>
    <row r="757" ht="13.5"/>
    <row r="758" ht="13.5"/>
    <row r="759" ht="13.5"/>
    <row r="760" ht="13.5"/>
    <row r="761" ht="13.5"/>
    <row r="762" ht="13.5"/>
    <row r="763" ht="13.5"/>
    <row r="764" ht="13.5"/>
    <row r="765" ht="13.5"/>
    <row r="766" ht="13.5"/>
    <row r="767" ht="13.5"/>
    <row r="768" ht="13.5"/>
    <row r="769" ht="13.5"/>
    <row r="770" ht="13.5"/>
    <row r="771" ht="13.5"/>
    <row r="772" ht="13.5"/>
    <row r="773" ht="13.5"/>
    <row r="774" ht="13.5"/>
    <row r="775" ht="13.5"/>
    <row r="776" ht="13.5"/>
    <row r="777" ht="13.5"/>
    <row r="778" ht="13.5"/>
    <row r="779" ht="13.5"/>
    <row r="780" ht="13.5"/>
    <row r="781" ht="13.5"/>
    <row r="782" ht="13.5"/>
    <row r="783" ht="13.5"/>
    <row r="784" ht="13.5"/>
    <row r="785" ht="13.5"/>
    <row r="786" ht="13.5"/>
    <row r="787" ht="13.5"/>
    <row r="788" ht="13.5"/>
    <row r="789" ht="13.5"/>
    <row r="790" ht="13.5"/>
    <row r="791" ht="13.5"/>
    <row r="792" ht="13.5"/>
    <row r="793" ht="13.5"/>
    <row r="794" ht="13.5"/>
    <row r="795" ht="13.5"/>
    <row r="796" ht="13.5"/>
    <row r="797" ht="13.5"/>
    <row r="798" ht="13.5"/>
    <row r="799" ht="13.5"/>
    <row r="800" ht="13.5"/>
    <row r="801" ht="13.5"/>
    <row r="802" ht="13.5"/>
    <row r="803" ht="13.5"/>
    <row r="804" ht="13.5"/>
    <row r="805" ht="13.5"/>
    <row r="806" ht="13.5"/>
    <row r="807" ht="13.5"/>
    <row r="808" ht="13.5"/>
    <row r="809" ht="13.5"/>
    <row r="810" ht="13.5"/>
    <row r="811" ht="13.5"/>
    <row r="812" ht="13.5"/>
    <row r="813" ht="13.5"/>
    <row r="814" ht="13.5"/>
    <row r="815" ht="13.5"/>
    <row r="816" ht="13.5"/>
    <row r="817" ht="13.5"/>
    <row r="818" ht="13.5"/>
    <row r="819" ht="13.5"/>
    <row r="820" ht="13.5"/>
    <row r="821" ht="13.5"/>
    <row r="822" ht="13.5"/>
    <row r="823" ht="13.5"/>
    <row r="824" ht="13.5"/>
    <row r="825" ht="13.5"/>
    <row r="826" ht="13.5"/>
    <row r="827" ht="13.5"/>
    <row r="828" ht="13.5"/>
    <row r="829" ht="13.5"/>
    <row r="830" ht="13.5"/>
    <row r="831" ht="13.5"/>
    <row r="832" ht="13.5"/>
    <row r="833" ht="13.5"/>
    <row r="834" ht="13.5"/>
    <row r="835" ht="13.5"/>
    <row r="836" ht="13.5"/>
    <row r="837" ht="13.5"/>
    <row r="838" ht="13.5"/>
    <row r="839" ht="13.5"/>
    <row r="840" ht="13.5"/>
    <row r="841" ht="13.5"/>
    <row r="842" ht="13.5"/>
    <row r="843" ht="13.5"/>
    <row r="844" ht="13.5"/>
    <row r="845" ht="13.5"/>
    <row r="846" ht="13.5"/>
    <row r="847" ht="13.5"/>
    <row r="848" ht="13.5"/>
    <row r="849" ht="13.5"/>
    <row r="850" ht="13.5"/>
    <row r="851" ht="13.5"/>
    <row r="852" ht="13.5"/>
    <row r="853" ht="13.5"/>
    <row r="854" ht="13.5"/>
    <row r="855" ht="13.5"/>
    <row r="856" ht="13.5"/>
    <row r="857" ht="13.5"/>
    <row r="858" ht="13.5"/>
    <row r="859" ht="13.5"/>
    <row r="860" ht="13.5"/>
    <row r="861" ht="13.5"/>
    <row r="862" ht="13.5"/>
    <row r="863" ht="13.5"/>
    <row r="864" ht="13.5"/>
    <row r="865" ht="13.5"/>
    <row r="866" ht="13.5"/>
    <row r="867" ht="13.5"/>
    <row r="868" ht="13.5"/>
    <row r="869" ht="13.5"/>
    <row r="870" ht="13.5"/>
    <row r="871" ht="13.5"/>
    <row r="872" ht="13.5"/>
    <row r="873" ht="13.5"/>
    <row r="874" ht="13.5"/>
    <row r="875" ht="13.5"/>
    <row r="876" ht="13.5"/>
    <row r="877" ht="13.5"/>
    <row r="878" ht="13.5"/>
    <row r="879" ht="13.5"/>
    <row r="880" ht="13.5"/>
    <row r="881" ht="13.5"/>
    <row r="882" ht="13.5"/>
    <row r="883" ht="13.5"/>
    <row r="884" ht="13.5"/>
    <row r="885" ht="13.5"/>
    <row r="886" ht="13.5"/>
    <row r="887" ht="13.5"/>
    <row r="888" ht="13.5"/>
    <row r="889" ht="13.5"/>
    <row r="890" ht="13.5"/>
    <row r="891" ht="13.5"/>
    <row r="892" ht="13.5"/>
    <row r="893" ht="13.5"/>
    <row r="894" ht="13.5"/>
    <row r="895" ht="13.5"/>
    <row r="896" ht="13.5"/>
    <row r="897" ht="13.5"/>
    <row r="898" ht="13.5"/>
    <row r="899" ht="13.5"/>
    <row r="900" ht="13.5"/>
    <row r="901" ht="13.5"/>
    <row r="902" ht="13.5"/>
    <row r="903" ht="13.5"/>
    <row r="904" ht="13.5"/>
    <row r="905" ht="13.5"/>
    <row r="906" ht="13.5"/>
    <row r="907" ht="13.5"/>
    <row r="908" ht="13.5"/>
    <row r="909" ht="13.5"/>
    <row r="910" ht="13.5"/>
    <row r="911" ht="13.5"/>
    <row r="912" ht="13.5"/>
    <row r="913" ht="13.5"/>
    <row r="914" ht="13.5"/>
    <row r="915" ht="13.5"/>
    <row r="916" ht="13.5"/>
    <row r="917" ht="13.5"/>
    <row r="918" ht="13.5"/>
    <row r="919" ht="13.5"/>
    <row r="920" ht="13.5"/>
    <row r="921" ht="13.5"/>
    <row r="922" ht="13.5"/>
    <row r="923" ht="13.5"/>
    <row r="924" ht="13.5"/>
    <row r="925" ht="13.5"/>
    <row r="926" ht="13.5"/>
    <row r="927" ht="13.5"/>
    <row r="928" ht="13.5"/>
    <row r="929" ht="13.5"/>
    <row r="930" ht="13.5"/>
    <row r="931" ht="13.5"/>
    <row r="932" ht="13.5"/>
    <row r="933" ht="13.5"/>
    <row r="934" ht="13.5"/>
    <row r="935" ht="13.5"/>
    <row r="936" ht="13.5"/>
    <row r="937" ht="13.5"/>
    <row r="938" ht="13.5"/>
    <row r="939" ht="13.5"/>
    <row r="940" ht="13.5"/>
    <row r="941" ht="13.5"/>
    <row r="942" ht="13.5"/>
    <row r="943" ht="13.5"/>
    <row r="944" ht="13.5"/>
    <row r="945" ht="13.5"/>
    <row r="946" ht="13.5"/>
    <row r="947" ht="13.5"/>
    <row r="948" ht="13.5"/>
    <row r="949" ht="13.5"/>
    <row r="950" ht="13.5"/>
    <row r="951" ht="13.5"/>
    <row r="952" ht="13.5"/>
    <row r="953" ht="13.5"/>
    <row r="954" ht="13.5"/>
    <row r="955" ht="13.5"/>
    <row r="956" ht="13.5"/>
    <row r="957" ht="13.5"/>
    <row r="958" ht="13.5"/>
    <row r="959" ht="13.5"/>
    <row r="960" ht="13.5"/>
    <row r="961" ht="13.5"/>
    <row r="962" ht="13.5"/>
    <row r="963" ht="13.5"/>
    <row r="964" ht="13.5"/>
    <row r="965" ht="13.5"/>
    <row r="966" ht="13.5"/>
    <row r="967" ht="13.5"/>
    <row r="968" ht="13.5"/>
    <row r="969" ht="13.5"/>
    <row r="970" ht="13.5"/>
    <row r="971" ht="13.5"/>
    <row r="972" ht="13.5"/>
    <row r="973" ht="13.5"/>
    <row r="974" ht="13.5"/>
    <row r="975" ht="13.5"/>
    <row r="976" ht="13.5"/>
    <row r="977" ht="13.5"/>
    <row r="978" ht="13.5"/>
    <row r="979" ht="13.5"/>
    <row r="980" ht="13.5"/>
    <row r="981" ht="13.5"/>
    <row r="982" ht="13.5"/>
    <row r="983" ht="13.5"/>
    <row r="984" ht="13.5"/>
    <row r="985" ht="13.5"/>
    <row r="986" ht="13.5"/>
    <row r="987" ht="13.5"/>
    <row r="988" ht="13.5"/>
    <row r="989" ht="13.5"/>
    <row r="990" ht="13.5"/>
    <row r="991" ht="13.5"/>
    <row r="992" ht="13.5"/>
    <row r="993" ht="13.5"/>
    <row r="994" ht="13.5"/>
    <row r="995" ht="13.5"/>
    <row r="996" ht="13.5"/>
    <row r="997" ht="13.5"/>
  </sheetData>
  <mergeCells count="2">
    <mergeCell ref="A1:L1"/>
    <mergeCell ref="A3:L3"/>
  </mergeCell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B197-79BF-4996-BD17-4A116BE25A73}">
  <dimension ref="A1:I132"/>
  <sheetViews>
    <sheetView view="pageBreakPreview" zoomScale="90" zoomScaleNormal="100" zoomScaleSheetLayoutView="90" workbookViewId="0">
      <selection activeCell="G10" sqref="G10"/>
    </sheetView>
  </sheetViews>
  <sheetFormatPr baseColWidth="10" defaultRowHeight="18.75"/>
  <cols>
    <col min="1" max="1" width="5.7109375" style="38" bestFit="1" customWidth="1"/>
    <col min="2" max="2" width="51" style="38" customWidth="1"/>
    <col min="3" max="3" width="13.140625" style="38" customWidth="1"/>
    <col min="4" max="4" width="16.85546875" style="38" customWidth="1"/>
    <col min="5" max="5" width="14.85546875" style="38" customWidth="1"/>
    <col min="6" max="6" width="13.7109375" style="38" customWidth="1"/>
    <col min="7" max="7" width="13.28515625" style="38" customWidth="1"/>
    <col min="8" max="8" width="13.140625" style="38" customWidth="1"/>
    <col min="9" max="9" width="21.28515625" style="38" customWidth="1"/>
    <col min="10" max="16384" width="11.42578125" style="38"/>
  </cols>
  <sheetData>
    <row r="1" spans="1:9">
      <c r="B1" s="39" t="s">
        <v>249</v>
      </c>
      <c r="C1" s="40"/>
      <c r="D1" s="40"/>
      <c r="E1" s="40"/>
      <c r="F1" s="40"/>
      <c r="G1" s="40"/>
      <c r="H1" s="40"/>
      <c r="I1" s="40"/>
    </row>
    <row r="2" spans="1:9" ht="21.75" customHeight="1">
      <c r="B2" s="40"/>
      <c r="C2" s="40"/>
      <c r="D2" s="40"/>
      <c r="E2" s="40"/>
      <c r="F2" s="40"/>
      <c r="G2" s="40"/>
      <c r="H2" s="40"/>
      <c r="I2" s="40"/>
    </row>
    <row r="3" spans="1:9" ht="20.25" customHeight="1">
      <c r="B3" s="40"/>
      <c r="C3" s="40"/>
      <c r="D3" s="40"/>
      <c r="E3" s="40"/>
      <c r="F3" s="40"/>
      <c r="G3" s="40"/>
      <c r="H3" s="40"/>
      <c r="I3" s="40"/>
    </row>
    <row r="4" spans="1:9" ht="20.25" customHeight="1" thickBot="1">
      <c r="B4" s="41"/>
      <c r="C4" s="41"/>
      <c r="D4" s="41"/>
      <c r="E4" s="41"/>
      <c r="F4" s="41"/>
      <c r="G4" s="41"/>
      <c r="H4" s="41"/>
      <c r="I4" s="41"/>
    </row>
    <row r="5" spans="1:9" ht="26.25" thickBot="1">
      <c r="A5" s="42" t="s">
        <v>250</v>
      </c>
      <c r="B5" s="43" t="s">
        <v>251</v>
      </c>
      <c r="C5" s="44" t="s">
        <v>252</v>
      </c>
      <c r="D5" s="45" t="s">
        <v>253</v>
      </c>
      <c r="E5" s="44" t="s">
        <v>254</v>
      </c>
      <c r="F5" s="45" t="s">
        <v>255</v>
      </c>
      <c r="G5" s="44" t="s">
        <v>256</v>
      </c>
      <c r="H5" s="45" t="s">
        <v>257</v>
      </c>
      <c r="I5" s="45" t="s">
        <v>258</v>
      </c>
    </row>
    <row r="6" spans="1:9">
      <c r="A6" s="46">
        <v>1</v>
      </c>
      <c r="B6" s="47" t="s">
        <v>32</v>
      </c>
      <c r="C6" s="48" t="s">
        <v>259</v>
      </c>
      <c r="D6" s="48">
        <v>24610501</v>
      </c>
      <c r="E6" s="49">
        <v>47908</v>
      </c>
      <c r="F6" s="48">
        <v>266982</v>
      </c>
      <c r="G6" s="48"/>
      <c r="H6" s="50"/>
      <c r="I6" s="50">
        <f>H6*G6</f>
        <v>0</v>
      </c>
    </row>
    <row r="7" spans="1:9">
      <c r="A7" s="51">
        <v>2</v>
      </c>
      <c r="B7" s="52" t="s">
        <v>33</v>
      </c>
      <c r="C7" s="53" t="s">
        <v>260</v>
      </c>
      <c r="D7" s="53" t="s">
        <v>261</v>
      </c>
      <c r="E7" s="54">
        <v>46478</v>
      </c>
      <c r="F7" s="53">
        <v>53217</v>
      </c>
      <c r="G7" s="53"/>
      <c r="H7" s="55"/>
      <c r="I7" s="55">
        <f>H7*G7</f>
        <v>0</v>
      </c>
    </row>
    <row r="8" spans="1:9">
      <c r="A8" s="51">
        <v>3</v>
      </c>
      <c r="B8" s="52" t="s">
        <v>34</v>
      </c>
      <c r="C8" s="53" t="s">
        <v>262</v>
      </c>
      <c r="D8" s="53" t="s">
        <v>263</v>
      </c>
      <c r="E8" s="54">
        <v>46478</v>
      </c>
      <c r="F8" s="53">
        <v>53778</v>
      </c>
      <c r="G8" s="53"/>
      <c r="H8" s="55"/>
      <c r="I8" s="55">
        <f>H8*G8</f>
        <v>0</v>
      </c>
    </row>
    <row r="9" spans="1:9" ht="27">
      <c r="A9" s="51">
        <v>4</v>
      </c>
      <c r="B9" s="52" t="s">
        <v>35</v>
      </c>
      <c r="C9" s="53" t="s">
        <v>264</v>
      </c>
      <c r="D9" s="53" t="s">
        <v>265</v>
      </c>
      <c r="E9" s="54">
        <v>46569</v>
      </c>
      <c r="F9" s="53">
        <v>113595</v>
      </c>
      <c r="G9" s="53"/>
      <c r="H9" s="55"/>
      <c r="I9" s="55">
        <f>H9*G9</f>
        <v>0</v>
      </c>
    </row>
    <row r="10" spans="1:9" ht="27">
      <c r="A10" s="56">
        <v>5</v>
      </c>
      <c r="B10" s="57" t="s">
        <v>38</v>
      </c>
      <c r="C10" s="58" t="s">
        <v>264</v>
      </c>
      <c r="D10" s="58" t="s">
        <v>266</v>
      </c>
      <c r="E10" s="59">
        <v>47027</v>
      </c>
      <c r="F10" s="58">
        <v>113420</v>
      </c>
      <c r="G10" s="58"/>
      <c r="H10" s="60"/>
      <c r="I10" s="60">
        <f t="shared" ref="I10:I73" si="0">H10*G10</f>
        <v>0</v>
      </c>
    </row>
    <row r="11" spans="1:9">
      <c r="A11" s="56">
        <v>6</v>
      </c>
      <c r="B11" s="57" t="s">
        <v>40</v>
      </c>
      <c r="C11" s="58" t="s">
        <v>267</v>
      </c>
      <c r="D11" s="58">
        <v>240702</v>
      </c>
      <c r="E11" s="59">
        <v>47300</v>
      </c>
      <c r="F11" s="58">
        <v>266785</v>
      </c>
      <c r="G11" s="58"/>
      <c r="H11" s="60"/>
      <c r="I11" s="60">
        <f t="shared" si="0"/>
        <v>0</v>
      </c>
    </row>
    <row r="12" spans="1:9" ht="27">
      <c r="A12" s="56">
        <v>7</v>
      </c>
      <c r="B12" s="57" t="s">
        <v>41</v>
      </c>
      <c r="C12" s="58" t="s">
        <v>268</v>
      </c>
      <c r="D12" s="58">
        <v>20251110</v>
      </c>
      <c r="E12" s="59">
        <v>47796</v>
      </c>
      <c r="F12" s="58">
        <v>54513</v>
      </c>
      <c r="G12" s="58"/>
      <c r="H12" s="60"/>
      <c r="I12" s="60">
        <f t="shared" si="0"/>
        <v>0</v>
      </c>
    </row>
    <row r="13" spans="1:9" ht="27">
      <c r="A13" s="56">
        <v>8</v>
      </c>
      <c r="B13" s="57" t="s">
        <v>46</v>
      </c>
      <c r="C13" s="58" t="s">
        <v>264</v>
      </c>
      <c r="D13" s="58">
        <v>2411023186</v>
      </c>
      <c r="E13" s="59">
        <v>47426</v>
      </c>
      <c r="F13" s="58">
        <v>54299</v>
      </c>
      <c r="G13" s="58"/>
      <c r="H13" s="60"/>
      <c r="I13" s="60">
        <f t="shared" si="0"/>
        <v>0</v>
      </c>
    </row>
    <row r="14" spans="1:9" ht="27">
      <c r="A14" s="56">
        <v>9</v>
      </c>
      <c r="B14" s="57" t="s">
        <v>47</v>
      </c>
      <c r="C14" s="58" t="s">
        <v>264</v>
      </c>
      <c r="D14" s="58" t="s">
        <v>269</v>
      </c>
      <c r="E14" s="59" t="s">
        <v>270</v>
      </c>
      <c r="F14" s="58">
        <v>6087</v>
      </c>
      <c r="G14" s="58"/>
      <c r="H14" s="60"/>
      <c r="I14" s="60">
        <f t="shared" si="0"/>
        <v>0</v>
      </c>
    </row>
    <row r="15" spans="1:9" ht="27">
      <c r="A15" s="56">
        <v>10</v>
      </c>
      <c r="B15" s="57" t="s">
        <v>48</v>
      </c>
      <c r="C15" s="58" t="s">
        <v>264</v>
      </c>
      <c r="D15" s="58" t="s">
        <v>271</v>
      </c>
      <c r="E15" s="59" t="s">
        <v>272</v>
      </c>
      <c r="F15" s="58">
        <v>6089</v>
      </c>
      <c r="G15" s="58"/>
      <c r="H15" s="60"/>
      <c r="I15" s="60">
        <f t="shared" si="0"/>
        <v>0</v>
      </c>
    </row>
    <row r="16" spans="1:9" ht="27">
      <c r="A16" s="56">
        <v>11</v>
      </c>
      <c r="B16" s="57" t="s">
        <v>49</v>
      </c>
      <c r="C16" s="58" t="s">
        <v>264</v>
      </c>
      <c r="D16" s="58" t="s">
        <v>273</v>
      </c>
      <c r="E16" s="59" t="s">
        <v>273</v>
      </c>
      <c r="F16" s="58">
        <v>54418</v>
      </c>
      <c r="G16" s="58"/>
      <c r="H16" s="60"/>
      <c r="I16" s="60">
        <f t="shared" si="0"/>
        <v>0</v>
      </c>
    </row>
    <row r="17" spans="1:9" ht="27">
      <c r="A17" s="56">
        <v>12</v>
      </c>
      <c r="B17" s="57" t="s">
        <v>51</v>
      </c>
      <c r="C17" s="58" t="s">
        <v>264</v>
      </c>
      <c r="D17" s="58" t="s">
        <v>273</v>
      </c>
      <c r="E17" s="59" t="s">
        <v>273</v>
      </c>
      <c r="F17" s="58">
        <v>53608</v>
      </c>
      <c r="G17" s="58"/>
      <c r="H17" s="60"/>
      <c r="I17" s="60">
        <f t="shared" si="0"/>
        <v>0</v>
      </c>
    </row>
    <row r="18" spans="1:9">
      <c r="A18" s="56">
        <v>13</v>
      </c>
      <c r="B18" s="57" t="s">
        <v>55</v>
      </c>
      <c r="C18" s="58" t="s">
        <v>264</v>
      </c>
      <c r="D18" s="58" t="s">
        <v>274</v>
      </c>
      <c r="E18" s="59">
        <v>46844</v>
      </c>
      <c r="F18" s="58">
        <v>53443</v>
      </c>
      <c r="G18" s="58"/>
      <c r="H18" s="60"/>
      <c r="I18" s="60">
        <f t="shared" si="0"/>
        <v>0</v>
      </c>
    </row>
    <row r="19" spans="1:9">
      <c r="A19" s="56">
        <v>14</v>
      </c>
      <c r="B19" s="57" t="s">
        <v>59</v>
      </c>
      <c r="C19" s="58" t="s">
        <v>264</v>
      </c>
      <c r="D19" s="58">
        <v>250218</v>
      </c>
      <c r="E19" s="59">
        <v>47574</v>
      </c>
      <c r="F19" s="58">
        <v>53931</v>
      </c>
      <c r="G19" s="58"/>
      <c r="H19" s="60"/>
      <c r="I19" s="60">
        <f t="shared" si="0"/>
        <v>0</v>
      </c>
    </row>
    <row r="20" spans="1:9">
      <c r="A20" s="56">
        <v>15</v>
      </c>
      <c r="B20" s="57" t="s">
        <v>60</v>
      </c>
      <c r="C20" s="58" t="s">
        <v>264</v>
      </c>
      <c r="D20" s="58">
        <v>250142</v>
      </c>
      <c r="E20" s="59">
        <v>47574</v>
      </c>
      <c r="F20" s="58">
        <v>53859</v>
      </c>
      <c r="G20" s="58"/>
      <c r="H20" s="60"/>
      <c r="I20" s="60">
        <f t="shared" si="0"/>
        <v>0</v>
      </c>
    </row>
    <row r="21" spans="1:9">
      <c r="A21" s="56">
        <v>16</v>
      </c>
      <c r="B21" s="57" t="s">
        <v>61</v>
      </c>
      <c r="C21" s="58" t="s">
        <v>264</v>
      </c>
      <c r="D21" s="58">
        <v>2405003</v>
      </c>
      <c r="E21" s="59">
        <v>47209</v>
      </c>
      <c r="F21" s="58">
        <v>53631</v>
      </c>
      <c r="G21" s="58"/>
      <c r="H21" s="60"/>
      <c r="I21" s="60">
        <f t="shared" si="0"/>
        <v>0</v>
      </c>
    </row>
    <row r="22" spans="1:9" ht="25.5">
      <c r="A22" s="56">
        <v>17</v>
      </c>
      <c r="B22" s="57" t="s">
        <v>62</v>
      </c>
      <c r="C22" s="58" t="s">
        <v>264</v>
      </c>
      <c r="D22" s="58" t="s">
        <v>275</v>
      </c>
      <c r="E22" s="59" t="s">
        <v>276</v>
      </c>
      <c r="F22" s="58">
        <v>54171</v>
      </c>
      <c r="G22" s="58"/>
      <c r="H22" s="60"/>
      <c r="I22" s="60">
        <f t="shared" si="0"/>
        <v>0</v>
      </c>
    </row>
    <row r="23" spans="1:9" ht="25.5">
      <c r="A23" s="56">
        <v>18</v>
      </c>
      <c r="B23" s="57" t="s">
        <v>63</v>
      </c>
      <c r="C23" s="58" t="s">
        <v>264</v>
      </c>
      <c r="D23" s="58" t="s">
        <v>277</v>
      </c>
      <c r="E23" s="59" t="s">
        <v>278</v>
      </c>
      <c r="F23" s="58">
        <v>54376</v>
      </c>
      <c r="G23" s="58"/>
      <c r="H23" s="60"/>
      <c r="I23" s="60">
        <f t="shared" si="0"/>
        <v>0</v>
      </c>
    </row>
    <row r="24" spans="1:9">
      <c r="A24" s="56">
        <v>19</v>
      </c>
      <c r="B24" s="57" t="s">
        <v>64</v>
      </c>
      <c r="C24" s="58" t="s">
        <v>264</v>
      </c>
      <c r="D24" s="58">
        <v>20250228</v>
      </c>
      <c r="E24" s="59">
        <v>47541</v>
      </c>
      <c r="F24" s="58">
        <v>54175</v>
      </c>
      <c r="G24" s="58"/>
      <c r="H24" s="60"/>
      <c r="I24" s="60">
        <f t="shared" si="0"/>
        <v>0</v>
      </c>
    </row>
    <row r="25" spans="1:9">
      <c r="A25" s="51">
        <v>20</v>
      </c>
      <c r="B25" s="52" t="s">
        <v>65</v>
      </c>
      <c r="C25" s="53" t="s">
        <v>264</v>
      </c>
      <c r="D25" s="53">
        <v>20220821</v>
      </c>
      <c r="E25" s="54">
        <v>46627</v>
      </c>
      <c r="F25" s="53">
        <v>155889</v>
      </c>
      <c r="G25" s="53"/>
      <c r="H25" s="55"/>
      <c r="I25" s="55">
        <f t="shared" si="0"/>
        <v>0</v>
      </c>
    </row>
    <row r="26" spans="1:9">
      <c r="A26" s="56">
        <v>21</v>
      </c>
      <c r="B26" s="57" t="s">
        <v>66</v>
      </c>
      <c r="C26" s="58" t="s">
        <v>264</v>
      </c>
      <c r="D26" s="58">
        <v>20251120</v>
      </c>
      <c r="E26" s="59">
        <v>47811</v>
      </c>
      <c r="F26" s="58">
        <v>54378</v>
      </c>
      <c r="G26" s="58"/>
      <c r="H26" s="60"/>
      <c r="I26" s="60">
        <f t="shared" si="0"/>
        <v>0</v>
      </c>
    </row>
    <row r="27" spans="1:9">
      <c r="A27" s="51">
        <v>22</v>
      </c>
      <c r="B27" s="52" t="s">
        <v>68</v>
      </c>
      <c r="C27" s="53" t="s">
        <v>264</v>
      </c>
      <c r="D27" s="53">
        <v>20220918</v>
      </c>
      <c r="E27" s="54">
        <v>46647</v>
      </c>
      <c r="F27" s="53">
        <v>54292</v>
      </c>
      <c r="G27" s="53"/>
      <c r="H27" s="55"/>
      <c r="I27" s="55">
        <f t="shared" si="0"/>
        <v>0</v>
      </c>
    </row>
    <row r="28" spans="1:9">
      <c r="A28" s="51">
        <v>23</v>
      </c>
      <c r="B28" s="52" t="s">
        <v>70</v>
      </c>
      <c r="C28" s="53" t="s">
        <v>259</v>
      </c>
      <c r="D28" s="53" t="s">
        <v>279</v>
      </c>
      <c r="E28" s="54">
        <v>46691</v>
      </c>
      <c r="F28" s="53">
        <v>539445</v>
      </c>
      <c r="G28" s="53"/>
      <c r="H28" s="55"/>
      <c r="I28" s="55">
        <f t="shared" si="0"/>
        <v>0</v>
      </c>
    </row>
    <row r="29" spans="1:9" ht="27">
      <c r="A29" s="61">
        <v>24</v>
      </c>
      <c r="B29" s="62" t="s">
        <v>71</v>
      </c>
      <c r="C29" s="63" t="s">
        <v>280</v>
      </c>
      <c r="D29" s="63" t="s">
        <v>281</v>
      </c>
      <c r="E29" s="64">
        <v>46283</v>
      </c>
      <c r="F29" s="63">
        <v>54298</v>
      </c>
      <c r="G29" s="63"/>
      <c r="H29" s="65"/>
      <c r="I29" s="65">
        <f t="shared" si="0"/>
        <v>0</v>
      </c>
    </row>
    <row r="30" spans="1:9" ht="51">
      <c r="A30" s="51">
        <v>25</v>
      </c>
      <c r="B30" s="52" t="s">
        <v>72</v>
      </c>
      <c r="C30" s="53" t="s">
        <v>280</v>
      </c>
      <c r="D30" s="53" t="s">
        <v>282</v>
      </c>
      <c r="E30" s="54">
        <v>46613</v>
      </c>
      <c r="F30" s="53">
        <v>266967</v>
      </c>
      <c r="G30" s="53"/>
      <c r="H30" s="55"/>
      <c r="I30" s="55">
        <f t="shared" si="0"/>
        <v>0</v>
      </c>
    </row>
    <row r="31" spans="1:9">
      <c r="A31" s="61">
        <v>26</v>
      </c>
      <c r="B31" s="62" t="s">
        <v>73</v>
      </c>
      <c r="C31" s="63" t="s">
        <v>259</v>
      </c>
      <c r="D31" s="63" t="s">
        <v>283</v>
      </c>
      <c r="E31" s="64">
        <v>46296</v>
      </c>
      <c r="F31" s="63">
        <v>266130</v>
      </c>
      <c r="G31" s="63"/>
      <c r="H31" s="65"/>
      <c r="I31" s="65">
        <f t="shared" si="0"/>
        <v>0</v>
      </c>
    </row>
    <row r="32" spans="1:9">
      <c r="A32" s="61">
        <v>27</v>
      </c>
      <c r="B32" s="62" t="s">
        <v>74</v>
      </c>
      <c r="C32" s="63" t="s">
        <v>259</v>
      </c>
      <c r="D32" s="63">
        <v>679</v>
      </c>
      <c r="E32" s="64">
        <v>46327</v>
      </c>
      <c r="F32" s="63">
        <v>266131</v>
      </c>
      <c r="G32" s="63"/>
      <c r="H32" s="65"/>
      <c r="I32" s="65">
        <f t="shared" si="0"/>
        <v>0</v>
      </c>
    </row>
    <row r="33" spans="1:9">
      <c r="A33" s="56">
        <v>28</v>
      </c>
      <c r="B33" s="57" t="s">
        <v>76</v>
      </c>
      <c r="C33" s="58" t="s">
        <v>264</v>
      </c>
      <c r="D33" s="58" t="s">
        <v>273</v>
      </c>
      <c r="E33" s="59" t="s">
        <v>273</v>
      </c>
      <c r="F33" s="58" t="s">
        <v>284</v>
      </c>
      <c r="G33" s="58"/>
      <c r="H33" s="60"/>
      <c r="I33" s="60">
        <f t="shared" si="0"/>
        <v>0</v>
      </c>
    </row>
    <row r="34" spans="1:9">
      <c r="A34" s="61">
        <v>29</v>
      </c>
      <c r="B34" s="62" t="s">
        <v>78</v>
      </c>
      <c r="C34" s="63" t="s">
        <v>259</v>
      </c>
      <c r="D34" s="63" t="s">
        <v>285</v>
      </c>
      <c r="E34" s="64">
        <v>46431</v>
      </c>
      <c r="F34" s="63">
        <v>174068</v>
      </c>
      <c r="G34" s="63"/>
      <c r="H34" s="65"/>
      <c r="I34" s="65">
        <f t="shared" si="0"/>
        <v>0</v>
      </c>
    </row>
    <row r="35" spans="1:9">
      <c r="A35" s="51">
        <v>30</v>
      </c>
      <c r="B35" s="52" t="s">
        <v>81</v>
      </c>
      <c r="C35" s="53" t="s">
        <v>268</v>
      </c>
      <c r="D35" s="53" t="s">
        <v>286</v>
      </c>
      <c r="E35" s="54" t="s">
        <v>287</v>
      </c>
      <c r="F35" s="53">
        <v>53971</v>
      </c>
      <c r="G35" s="53"/>
      <c r="H35" s="55"/>
      <c r="I35" s="55">
        <f t="shared" si="0"/>
        <v>0</v>
      </c>
    </row>
    <row r="36" spans="1:9">
      <c r="A36" s="56">
        <v>31</v>
      </c>
      <c r="B36" s="57" t="s">
        <v>82</v>
      </c>
      <c r="C36" s="58" t="s">
        <v>268</v>
      </c>
      <c r="D36" s="58" t="s">
        <v>288</v>
      </c>
      <c r="E36" s="59">
        <v>47484</v>
      </c>
      <c r="F36" s="58">
        <v>54174</v>
      </c>
      <c r="G36" s="58"/>
      <c r="H36" s="60"/>
      <c r="I36" s="60">
        <f t="shared" si="0"/>
        <v>0</v>
      </c>
    </row>
    <row r="37" spans="1:9">
      <c r="A37" s="56">
        <v>32</v>
      </c>
      <c r="B37" s="57" t="s">
        <v>83</v>
      </c>
      <c r="C37" s="58" t="s">
        <v>268</v>
      </c>
      <c r="D37" s="58" t="s">
        <v>286</v>
      </c>
      <c r="E37" s="59">
        <v>47362</v>
      </c>
      <c r="F37" s="58">
        <v>53935</v>
      </c>
      <c r="G37" s="58"/>
      <c r="H37" s="60"/>
      <c r="I37" s="60">
        <f t="shared" si="0"/>
        <v>0</v>
      </c>
    </row>
    <row r="38" spans="1:9">
      <c r="A38" s="56">
        <v>33</v>
      </c>
      <c r="B38" s="57" t="s">
        <v>85</v>
      </c>
      <c r="C38" s="58" t="s">
        <v>264</v>
      </c>
      <c r="D38" s="58">
        <v>3098</v>
      </c>
      <c r="E38" s="59" t="s">
        <v>273</v>
      </c>
      <c r="F38" s="58">
        <v>53628</v>
      </c>
      <c r="G38" s="58"/>
      <c r="H38" s="60"/>
      <c r="I38" s="60">
        <f t="shared" si="0"/>
        <v>0</v>
      </c>
    </row>
    <row r="39" spans="1:9">
      <c r="A39" s="56">
        <v>34</v>
      </c>
      <c r="B39" s="57" t="s">
        <v>90</v>
      </c>
      <c r="C39" s="58" t="s">
        <v>262</v>
      </c>
      <c r="D39" s="58">
        <v>240118001</v>
      </c>
      <c r="E39" s="59">
        <v>47119</v>
      </c>
      <c r="F39" s="58">
        <v>54296</v>
      </c>
      <c r="G39" s="58"/>
      <c r="H39" s="60"/>
      <c r="I39" s="60">
        <f t="shared" si="0"/>
        <v>0</v>
      </c>
    </row>
    <row r="40" spans="1:9">
      <c r="A40" s="56">
        <v>35</v>
      </c>
      <c r="B40" s="57" t="s">
        <v>96</v>
      </c>
      <c r="C40" s="58" t="s">
        <v>264</v>
      </c>
      <c r="D40" s="58" t="s">
        <v>289</v>
      </c>
      <c r="E40" s="59">
        <v>47808</v>
      </c>
      <c r="F40" s="58">
        <v>53944</v>
      </c>
      <c r="G40" s="58"/>
      <c r="H40" s="60"/>
      <c r="I40" s="60">
        <f t="shared" si="0"/>
        <v>0</v>
      </c>
    </row>
    <row r="41" spans="1:9">
      <c r="A41" s="56">
        <v>36</v>
      </c>
      <c r="B41" s="57" t="s">
        <v>97</v>
      </c>
      <c r="C41" s="58" t="s">
        <v>290</v>
      </c>
      <c r="D41" s="58" t="s">
        <v>291</v>
      </c>
      <c r="E41" s="59">
        <v>46813</v>
      </c>
      <c r="F41" s="58">
        <v>53444</v>
      </c>
      <c r="G41" s="58"/>
      <c r="H41" s="60"/>
      <c r="I41" s="60">
        <f t="shared" si="0"/>
        <v>0</v>
      </c>
    </row>
    <row r="42" spans="1:9">
      <c r="A42" s="56">
        <v>37</v>
      </c>
      <c r="B42" s="66" t="s">
        <v>99</v>
      </c>
      <c r="C42" s="58" t="s">
        <v>290</v>
      </c>
      <c r="D42" s="58" t="s">
        <v>292</v>
      </c>
      <c r="E42" s="59">
        <v>47239</v>
      </c>
      <c r="F42" s="58">
        <v>53630</v>
      </c>
      <c r="G42" s="58"/>
      <c r="H42" s="60"/>
      <c r="I42" s="60">
        <f t="shared" si="0"/>
        <v>0</v>
      </c>
    </row>
    <row r="43" spans="1:9">
      <c r="A43" s="56">
        <v>38</v>
      </c>
      <c r="B43" s="57" t="s">
        <v>101</v>
      </c>
      <c r="C43" s="58" t="s">
        <v>290</v>
      </c>
      <c r="D43" s="58" t="s">
        <v>293</v>
      </c>
      <c r="E43" s="59">
        <v>47574</v>
      </c>
      <c r="F43" s="58">
        <v>56936</v>
      </c>
      <c r="G43" s="58"/>
      <c r="H43" s="60"/>
      <c r="I43" s="60">
        <f t="shared" si="0"/>
        <v>0</v>
      </c>
    </row>
    <row r="44" spans="1:9">
      <c r="A44" s="56">
        <v>39</v>
      </c>
      <c r="B44" s="57" t="s">
        <v>107</v>
      </c>
      <c r="C44" s="58" t="s">
        <v>294</v>
      </c>
      <c r="D44" s="58">
        <v>250328</v>
      </c>
      <c r="E44" s="59">
        <v>47604</v>
      </c>
      <c r="F44" s="58">
        <v>53934</v>
      </c>
      <c r="G44" s="58"/>
      <c r="H44" s="60"/>
      <c r="I44" s="60">
        <f t="shared" si="0"/>
        <v>0</v>
      </c>
    </row>
    <row r="45" spans="1:9" ht="25.5">
      <c r="A45" s="56">
        <v>40</v>
      </c>
      <c r="B45" s="57" t="s">
        <v>108</v>
      </c>
      <c r="C45" s="58" t="s">
        <v>294</v>
      </c>
      <c r="D45" s="58" t="s">
        <v>295</v>
      </c>
      <c r="E45" s="59">
        <v>47178</v>
      </c>
      <c r="F45" s="58">
        <v>53933</v>
      </c>
      <c r="G45" s="58"/>
      <c r="H45" s="60"/>
      <c r="I45" s="60">
        <f t="shared" si="0"/>
        <v>0</v>
      </c>
    </row>
    <row r="46" spans="1:9" ht="27">
      <c r="A46" s="56">
        <v>41</v>
      </c>
      <c r="B46" s="57" t="s">
        <v>109</v>
      </c>
      <c r="C46" s="58" t="s">
        <v>264</v>
      </c>
      <c r="D46" s="58">
        <v>20230705</v>
      </c>
      <c r="E46" s="59">
        <v>46938</v>
      </c>
      <c r="F46" s="58">
        <v>308399</v>
      </c>
      <c r="G46" s="58"/>
      <c r="H46" s="60"/>
      <c r="I46" s="60">
        <f t="shared" si="0"/>
        <v>0</v>
      </c>
    </row>
    <row r="47" spans="1:9" ht="27">
      <c r="A47" s="56">
        <v>42</v>
      </c>
      <c r="B47" s="57" t="s">
        <v>111</v>
      </c>
      <c r="C47" s="58" t="s">
        <v>294</v>
      </c>
      <c r="D47" s="58" t="s">
        <v>296</v>
      </c>
      <c r="E47" s="59">
        <v>47574</v>
      </c>
      <c r="F47" s="58">
        <v>53609</v>
      </c>
      <c r="G47" s="58"/>
      <c r="H47" s="60"/>
      <c r="I47" s="60">
        <f t="shared" si="0"/>
        <v>0</v>
      </c>
    </row>
    <row r="48" spans="1:9" ht="27">
      <c r="A48" s="56">
        <v>43</v>
      </c>
      <c r="B48" s="57" t="s">
        <v>112</v>
      </c>
      <c r="C48" s="58" t="s">
        <v>294</v>
      </c>
      <c r="D48" s="58">
        <v>2407214</v>
      </c>
      <c r="E48" s="59">
        <v>47270</v>
      </c>
      <c r="F48" s="58">
        <v>54291</v>
      </c>
      <c r="G48" s="58"/>
      <c r="H48" s="60"/>
      <c r="I48" s="60">
        <f t="shared" si="0"/>
        <v>0</v>
      </c>
    </row>
    <row r="49" spans="1:9" ht="38.25">
      <c r="A49" s="51">
        <v>44</v>
      </c>
      <c r="B49" s="52" t="s">
        <v>113</v>
      </c>
      <c r="C49" s="53" t="s">
        <v>264</v>
      </c>
      <c r="D49" s="53" t="s">
        <v>297</v>
      </c>
      <c r="E49" s="54" t="s">
        <v>298</v>
      </c>
      <c r="F49" s="53" t="s">
        <v>299</v>
      </c>
      <c r="G49" s="53"/>
      <c r="H49" s="55"/>
      <c r="I49" s="55">
        <f t="shared" si="0"/>
        <v>0</v>
      </c>
    </row>
    <row r="50" spans="1:9" ht="27">
      <c r="A50" s="56">
        <v>45</v>
      </c>
      <c r="B50" s="57" t="s">
        <v>114</v>
      </c>
      <c r="C50" s="58" t="s">
        <v>294</v>
      </c>
      <c r="D50" s="58">
        <v>2407216</v>
      </c>
      <c r="E50" s="59">
        <v>47270</v>
      </c>
      <c r="F50" s="58">
        <v>53941</v>
      </c>
      <c r="G50" s="58"/>
      <c r="H50" s="60"/>
      <c r="I50" s="60">
        <f t="shared" si="0"/>
        <v>0</v>
      </c>
    </row>
    <row r="51" spans="1:9">
      <c r="A51" s="56">
        <v>46</v>
      </c>
      <c r="B51" s="57" t="s">
        <v>116</v>
      </c>
      <c r="C51" s="58" t="s">
        <v>294</v>
      </c>
      <c r="D51" s="58" t="s">
        <v>273</v>
      </c>
      <c r="E51" s="59" t="s">
        <v>273</v>
      </c>
      <c r="F51" s="58">
        <v>53937</v>
      </c>
      <c r="G51" s="58"/>
      <c r="H51" s="60"/>
      <c r="I51" s="60">
        <f t="shared" si="0"/>
        <v>0</v>
      </c>
    </row>
    <row r="52" spans="1:9" ht="27">
      <c r="A52" s="56">
        <v>47</v>
      </c>
      <c r="B52" s="57" t="s">
        <v>117</v>
      </c>
      <c r="C52" s="58" t="s">
        <v>264</v>
      </c>
      <c r="D52" s="58" t="s">
        <v>273</v>
      </c>
      <c r="E52" s="59" t="s">
        <v>273</v>
      </c>
      <c r="F52" s="58">
        <v>53955</v>
      </c>
      <c r="G52" s="58"/>
      <c r="H52" s="60"/>
      <c r="I52" s="60">
        <f t="shared" si="0"/>
        <v>0</v>
      </c>
    </row>
    <row r="53" spans="1:9">
      <c r="A53" s="56">
        <v>48</v>
      </c>
      <c r="B53" s="57" t="s">
        <v>118</v>
      </c>
      <c r="C53" s="58" t="s">
        <v>294</v>
      </c>
      <c r="D53" s="58">
        <v>2503021</v>
      </c>
      <c r="E53" s="59">
        <v>47546</v>
      </c>
      <c r="F53" s="58">
        <v>53610</v>
      </c>
      <c r="G53" s="58"/>
      <c r="H53" s="60"/>
      <c r="I53" s="60">
        <f t="shared" si="0"/>
        <v>0</v>
      </c>
    </row>
    <row r="54" spans="1:9" ht="38.25">
      <c r="A54" s="56">
        <v>49</v>
      </c>
      <c r="B54" s="67" t="s">
        <v>121</v>
      </c>
      <c r="C54" s="58" t="s">
        <v>294</v>
      </c>
      <c r="D54" s="58" t="s">
        <v>300</v>
      </c>
      <c r="E54" s="59" t="s">
        <v>273</v>
      </c>
      <c r="F54" s="58">
        <v>335901</v>
      </c>
      <c r="G54" s="58"/>
      <c r="H54" s="60"/>
      <c r="I54" s="60">
        <f t="shared" si="0"/>
        <v>0</v>
      </c>
    </row>
    <row r="55" spans="1:9">
      <c r="A55" s="56">
        <v>50</v>
      </c>
      <c r="B55" s="57" t="s">
        <v>123</v>
      </c>
      <c r="C55" s="58" t="s">
        <v>294</v>
      </c>
      <c r="D55" s="58" t="s">
        <v>301</v>
      </c>
      <c r="E55" s="59">
        <v>47872</v>
      </c>
      <c r="F55" s="58">
        <v>308328</v>
      </c>
      <c r="G55" s="58"/>
      <c r="H55" s="60"/>
      <c r="I55" s="60">
        <f t="shared" si="0"/>
        <v>0</v>
      </c>
    </row>
    <row r="56" spans="1:9">
      <c r="A56" s="56">
        <v>51</v>
      </c>
      <c r="B56" s="57" t="s">
        <v>129</v>
      </c>
      <c r="C56" s="58" t="s">
        <v>294</v>
      </c>
      <c r="D56" s="58">
        <v>3113</v>
      </c>
      <c r="E56" s="59" t="s">
        <v>273</v>
      </c>
      <c r="F56" s="58">
        <v>6228</v>
      </c>
      <c r="G56" s="58"/>
      <c r="H56" s="60"/>
      <c r="I56" s="60">
        <f t="shared" si="0"/>
        <v>0</v>
      </c>
    </row>
    <row r="57" spans="1:9">
      <c r="A57" s="56">
        <v>52</v>
      </c>
      <c r="B57" s="57" t="s">
        <v>131</v>
      </c>
      <c r="C57" s="58" t="s">
        <v>294</v>
      </c>
      <c r="D57" s="58" t="s">
        <v>273</v>
      </c>
      <c r="E57" s="59" t="s">
        <v>273</v>
      </c>
      <c r="F57" s="58">
        <v>54384</v>
      </c>
      <c r="G57" s="58"/>
      <c r="H57" s="60"/>
      <c r="I57" s="60">
        <f t="shared" si="0"/>
        <v>0</v>
      </c>
    </row>
    <row r="58" spans="1:9">
      <c r="A58" s="56">
        <v>53</v>
      </c>
      <c r="B58" s="57" t="s">
        <v>132</v>
      </c>
      <c r="C58" s="58" t="s">
        <v>294</v>
      </c>
      <c r="D58" s="58" t="s">
        <v>273</v>
      </c>
      <c r="E58" s="59" t="s">
        <v>273</v>
      </c>
      <c r="F58" s="58">
        <v>54110</v>
      </c>
      <c r="G58" s="58"/>
      <c r="H58" s="60"/>
      <c r="I58" s="60">
        <f t="shared" si="0"/>
        <v>0</v>
      </c>
    </row>
    <row r="59" spans="1:9">
      <c r="A59" s="56">
        <v>54</v>
      </c>
      <c r="B59" s="57" t="s">
        <v>133</v>
      </c>
      <c r="C59" s="58" t="s">
        <v>294</v>
      </c>
      <c r="D59" s="58" t="s">
        <v>273</v>
      </c>
      <c r="E59" s="59" t="s">
        <v>273</v>
      </c>
      <c r="F59" s="58">
        <v>6298</v>
      </c>
      <c r="G59" s="58"/>
      <c r="H59" s="60"/>
      <c r="I59" s="60">
        <f t="shared" si="0"/>
        <v>0</v>
      </c>
    </row>
    <row r="60" spans="1:9">
      <c r="A60" s="56">
        <v>55</v>
      </c>
      <c r="B60" s="57" t="s">
        <v>134</v>
      </c>
      <c r="C60" s="58" t="s">
        <v>294</v>
      </c>
      <c r="D60" s="58" t="s">
        <v>273</v>
      </c>
      <c r="E60" s="59" t="s">
        <v>273</v>
      </c>
      <c r="F60" s="58">
        <v>54109</v>
      </c>
      <c r="G60" s="58"/>
      <c r="H60" s="60"/>
      <c r="I60" s="60">
        <f t="shared" si="0"/>
        <v>0</v>
      </c>
    </row>
    <row r="61" spans="1:9">
      <c r="A61" s="56">
        <v>56</v>
      </c>
      <c r="B61" s="57" t="s">
        <v>135</v>
      </c>
      <c r="C61" s="58" t="s">
        <v>294</v>
      </c>
      <c r="D61" s="58" t="s">
        <v>273</v>
      </c>
      <c r="E61" s="59" t="s">
        <v>273</v>
      </c>
      <c r="F61" s="58">
        <v>54166</v>
      </c>
      <c r="G61" s="58"/>
      <c r="H61" s="60"/>
      <c r="I61" s="60">
        <f t="shared" si="0"/>
        <v>0</v>
      </c>
    </row>
    <row r="62" spans="1:9" ht="27">
      <c r="A62" s="56">
        <v>57</v>
      </c>
      <c r="B62" s="57" t="s">
        <v>137</v>
      </c>
      <c r="C62" s="58" t="s">
        <v>302</v>
      </c>
      <c r="D62" s="58" t="s">
        <v>273</v>
      </c>
      <c r="E62" s="59" t="s">
        <v>273</v>
      </c>
      <c r="F62" s="58">
        <v>53212</v>
      </c>
      <c r="G62" s="58"/>
      <c r="H62" s="60"/>
      <c r="I62" s="60">
        <f t="shared" si="0"/>
        <v>0</v>
      </c>
    </row>
    <row r="63" spans="1:9">
      <c r="A63" s="56">
        <v>58</v>
      </c>
      <c r="B63" s="57" t="s">
        <v>138</v>
      </c>
      <c r="C63" s="58" t="s">
        <v>303</v>
      </c>
      <c r="D63" s="58" t="s">
        <v>273</v>
      </c>
      <c r="E63" s="59" t="s">
        <v>273</v>
      </c>
      <c r="F63" s="58">
        <v>365400</v>
      </c>
      <c r="G63" s="58"/>
      <c r="H63" s="60"/>
      <c r="I63" s="60">
        <f t="shared" si="0"/>
        <v>0</v>
      </c>
    </row>
    <row r="64" spans="1:9">
      <c r="A64" s="56">
        <v>59</v>
      </c>
      <c r="B64" s="57" t="s">
        <v>139</v>
      </c>
      <c r="C64" s="58" t="s">
        <v>294</v>
      </c>
      <c r="D64" s="58" t="s">
        <v>273</v>
      </c>
      <c r="E64" s="59" t="s">
        <v>273</v>
      </c>
      <c r="F64" s="58">
        <v>54295</v>
      </c>
      <c r="G64" s="58"/>
      <c r="H64" s="60"/>
      <c r="I64" s="60">
        <f t="shared" si="0"/>
        <v>0</v>
      </c>
    </row>
    <row r="65" spans="1:9">
      <c r="A65" s="56">
        <v>60</v>
      </c>
      <c r="B65" s="57" t="s">
        <v>141</v>
      </c>
      <c r="C65" s="58" t="s">
        <v>264</v>
      </c>
      <c r="D65" s="58" t="s">
        <v>304</v>
      </c>
      <c r="E65" s="59">
        <v>46784</v>
      </c>
      <c r="F65" s="58">
        <v>54385</v>
      </c>
      <c r="G65" s="58"/>
      <c r="H65" s="60"/>
      <c r="I65" s="60">
        <f t="shared" si="0"/>
        <v>0</v>
      </c>
    </row>
    <row r="66" spans="1:9">
      <c r="A66" s="51">
        <v>61</v>
      </c>
      <c r="B66" s="52" t="s">
        <v>142</v>
      </c>
      <c r="C66" s="53" t="s">
        <v>264</v>
      </c>
      <c r="D66" s="53">
        <v>583</v>
      </c>
      <c r="E66" s="54">
        <v>46600</v>
      </c>
      <c r="F66" s="53">
        <v>54425</v>
      </c>
      <c r="G66" s="53"/>
      <c r="H66" s="55"/>
      <c r="I66" s="55">
        <f t="shared" si="0"/>
        <v>0</v>
      </c>
    </row>
    <row r="67" spans="1:9">
      <c r="A67" s="51">
        <v>62</v>
      </c>
      <c r="B67" s="52" t="s">
        <v>144</v>
      </c>
      <c r="C67" s="53" t="s">
        <v>294</v>
      </c>
      <c r="D67" s="53" t="s">
        <v>305</v>
      </c>
      <c r="E67" s="54" t="s">
        <v>306</v>
      </c>
      <c r="F67" s="53">
        <v>54421</v>
      </c>
      <c r="G67" s="53"/>
      <c r="H67" s="55"/>
      <c r="I67" s="55">
        <f t="shared" si="0"/>
        <v>0</v>
      </c>
    </row>
    <row r="68" spans="1:9">
      <c r="A68" s="51">
        <v>63</v>
      </c>
      <c r="B68" s="52" t="s">
        <v>146</v>
      </c>
      <c r="C68" s="53" t="s">
        <v>294</v>
      </c>
      <c r="D68" s="53" t="s">
        <v>307</v>
      </c>
      <c r="E68" s="54">
        <v>46603</v>
      </c>
      <c r="F68" s="53">
        <v>54165</v>
      </c>
      <c r="G68" s="53"/>
      <c r="H68" s="55"/>
      <c r="I68" s="55">
        <f t="shared" si="0"/>
        <v>0</v>
      </c>
    </row>
    <row r="69" spans="1:9">
      <c r="A69" s="51">
        <v>64</v>
      </c>
      <c r="B69" s="52" t="s">
        <v>147</v>
      </c>
      <c r="C69" s="53" t="s">
        <v>264</v>
      </c>
      <c r="D69" s="53" t="s">
        <v>308</v>
      </c>
      <c r="E69" s="54">
        <v>46644</v>
      </c>
      <c r="F69" s="53">
        <v>54422</v>
      </c>
      <c r="G69" s="53"/>
      <c r="H69" s="55"/>
      <c r="I69" s="55">
        <f t="shared" si="0"/>
        <v>0</v>
      </c>
    </row>
    <row r="70" spans="1:9">
      <c r="A70" s="51">
        <v>65</v>
      </c>
      <c r="B70" s="52" t="s">
        <v>152</v>
      </c>
      <c r="C70" s="53" t="s">
        <v>264</v>
      </c>
      <c r="D70" s="53" t="s">
        <v>309</v>
      </c>
      <c r="E70" s="54">
        <v>46600</v>
      </c>
      <c r="F70" s="53" t="s">
        <v>310</v>
      </c>
      <c r="G70" s="53"/>
      <c r="H70" s="55"/>
      <c r="I70" s="55">
        <f t="shared" si="0"/>
        <v>0</v>
      </c>
    </row>
    <row r="71" spans="1:9">
      <c r="A71" s="51">
        <v>66</v>
      </c>
      <c r="B71" s="52" t="s">
        <v>154</v>
      </c>
      <c r="C71" s="53" t="s">
        <v>294</v>
      </c>
      <c r="D71" s="53" t="s">
        <v>311</v>
      </c>
      <c r="E71" s="54">
        <v>46644</v>
      </c>
      <c r="F71" s="53">
        <v>58293</v>
      </c>
      <c r="G71" s="53"/>
      <c r="H71" s="55"/>
      <c r="I71" s="55">
        <f t="shared" si="0"/>
        <v>0</v>
      </c>
    </row>
    <row r="72" spans="1:9">
      <c r="A72" s="51">
        <v>67</v>
      </c>
      <c r="B72" s="52" t="s">
        <v>156</v>
      </c>
      <c r="C72" s="53" t="s">
        <v>294</v>
      </c>
      <c r="D72" s="53" t="s">
        <v>312</v>
      </c>
      <c r="E72" s="54">
        <v>46600</v>
      </c>
      <c r="F72" s="53">
        <v>54170</v>
      </c>
      <c r="G72" s="53"/>
      <c r="H72" s="55"/>
      <c r="I72" s="55">
        <f t="shared" si="0"/>
        <v>0</v>
      </c>
    </row>
    <row r="73" spans="1:9">
      <c r="A73" s="61">
        <v>68</v>
      </c>
      <c r="B73" s="62" t="s">
        <v>157</v>
      </c>
      <c r="C73" s="63" t="s">
        <v>294</v>
      </c>
      <c r="D73" s="68" t="s">
        <v>313</v>
      </c>
      <c r="E73" s="64">
        <v>46422</v>
      </c>
      <c r="F73" s="63">
        <v>54419</v>
      </c>
      <c r="G73" s="63"/>
      <c r="H73" s="65"/>
      <c r="I73" s="65">
        <f t="shared" si="0"/>
        <v>0</v>
      </c>
    </row>
    <row r="74" spans="1:9" ht="27">
      <c r="A74" s="56">
        <v>69</v>
      </c>
      <c r="B74" s="57" t="s">
        <v>159</v>
      </c>
      <c r="C74" s="58" t="s">
        <v>290</v>
      </c>
      <c r="D74" s="58">
        <v>20240915</v>
      </c>
      <c r="E74" s="59">
        <v>47191</v>
      </c>
      <c r="F74" s="58">
        <v>53938</v>
      </c>
      <c r="G74" s="58"/>
      <c r="H74" s="60"/>
      <c r="I74" s="60">
        <f t="shared" ref="I74:I124" si="1">H74*G74</f>
        <v>0</v>
      </c>
    </row>
    <row r="75" spans="1:9" ht="27">
      <c r="A75" s="56">
        <v>70</v>
      </c>
      <c r="B75" s="57" t="s">
        <v>160</v>
      </c>
      <c r="C75" s="58" t="s">
        <v>290</v>
      </c>
      <c r="D75" s="58">
        <v>20240315</v>
      </c>
      <c r="E75" s="59">
        <v>47191</v>
      </c>
      <c r="F75" s="58">
        <v>365350</v>
      </c>
      <c r="G75" s="58"/>
      <c r="H75" s="60"/>
      <c r="I75" s="60">
        <f t="shared" si="1"/>
        <v>0</v>
      </c>
    </row>
    <row r="76" spans="1:9">
      <c r="A76" s="56">
        <v>71</v>
      </c>
      <c r="B76" s="57" t="s">
        <v>161</v>
      </c>
      <c r="C76" s="58" t="s">
        <v>314</v>
      </c>
      <c r="D76" s="58" t="s">
        <v>315</v>
      </c>
      <c r="E76" s="59">
        <v>46784</v>
      </c>
      <c r="F76" s="58">
        <v>54516</v>
      </c>
      <c r="G76" s="58"/>
      <c r="H76" s="60"/>
      <c r="I76" s="60">
        <f t="shared" si="1"/>
        <v>0</v>
      </c>
    </row>
    <row r="77" spans="1:9">
      <c r="A77" s="61">
        <v>72</v>
      </c>
      <c r="B77" s="62" t="s">
        <v>162</v>
      </c>
      <c r="C77" s="63" t="s">
        <v>264</v>
      </c>
      <c r="D77" s="63" t="s">
        <v>316</v>
      </c>
      <c r="E77" s="64">
        <v>46419</v>
      </c>
      <c r="F77" s="63">
        <v>6218</v>
      </c>
      <c r="G77" s="63"/>
      <c r="H77" s="65"/>
      <c r="I77" s="65">
        <f t="shared" si="1"/>
        <v>0</v>
      </c>
    </row>
    <row r="78" spans="1:9">
      <c r="A78" s="61">
        <v>73</v>
      </c>
      <c r="B78" s="62" t="s">
        <v>163</v>
      </c>
      <c r="C78" s="63" t="s">
        <v>264</v>
      </c>
      <c r="D78" s="63" t="s">
        <v>317</v>
      </c>
      <c r="E78" s="64">
        <v>46388</v>
      </c>
      <c r="F78" s="63">
        <v>6230</v>
      </c>
      <c r="G78" s="63"/>
      <c r="H78" s="65"/>
      <c r="I78" s="65">
        <f t="shared" si="1"/>
        <v>0</v>
      </c>
    </row>
    <row r="79" spans="1:9">
      <c r="A79" s="61">
        <v>74</v>
      </c>
      <c r="B79" s="62" t="s">
        <v>165</v>
      </c>
      <c r="C79" s="63" t="s">
        <v>264</v>
      </c>
      <c r="D79" s="63" t="s">
        <v>318</v>
      </c>
      <c r="E79" s="64">
        <v>46266</v>
      </c>
      <c r="F79" s="63">
        <v>364530</v>
      </c>
      <c r="G79" s="63"/>
      <c r="H79" s="65"/>
      <c r="I79" s="65">
        <f t="shared" si="1"/>
        <v>0</v>
      </c>
    </row>
    <row r="80" spans="1:9">
      <c r="A80" s="51">
        <v>75</v>
      </c>
      <c r="B80" s="52" t="s">
        <v>169</v>
      </c>
      <c r="C80" s="53" t="s">
        <v>264</v>
      </c>
      <c r="D80" s="53" t="s">
        <v>319</v>
      </c>
      <c r="E80" s="54">
        <v>46569</v>
      </c>
      <c r="F80" s="53">
        <v>6217</v>
      </c>
      <c r="G80" s="53"/>
      <c r="H80" s="55"/>
      <c r="I80" s="55">
        <f t="shared" si="1"/>
        <v>0</v>
      </c>
    </row>
    <row r="81" spans="1:9">
      <c r="A81" s="51">
        <v>76</v>
      </c>
      <c r="B81" s="52" t="s">
        <v>170</v>
      </c>
      <c r="C81" s="53" t="s">
        <v>264</v>
      </c>
      <c r="D81" s="53" t="s">
        <v>320</v>
      </c>
      <c r="E81" s="54">
        <v>46569</v>
      </c>
      <c r="F81" s="53">
        <v>335630</v>
      </c>
      <c r="G81" s="53"/>
      <c r="H81" s="55"/>
      <c r="I81" s="55">
        <f t="shared" si="1"/>
        <v>0</v>
      </c>
    </row>
    <row r="82" spans="1:9">
      <c r="A82" s="61">
        <v>77</v>
      </c>
      <c r="B82" s="62" t="s">
        <v>173</v>
      </c>
      <c r="C82" s="63" t="s">
        <v>264</v>
      </c>
      <c r="D82" s="63" t="s">
        <v>321</v>
      </c>
      <c r="E82" s="64">
        <v>46388</v>
      </c>
      <c r="F82" s="63">
        <v>54382</v>
      </c>
      <c r="G82" s="63"/>
      <c r="H82" s="65"/>
      <c r="I82" s="65">
        <f t="shared" si="1"/>
        <v>0</v>
      </c>
    </row>
    <row r="83" spans="1:9">
      <c r="A83" s="61">
        <v>78</v>
      </c>
      <c r="B83" s="62" t="s">
        <v>175</v>
      </c>
      <c r="C83" s="63" t="s">
        <v>264</v>
      </c>
      <c r="D83" s="63" t="s">
        <v>322</v>
      </c>
      <c r="E83" s="64">
        <v>46569</v>
      </c>
      <c r="F83" s="63">
        <v>53106</v>
      </c>
      <c r="G83" s="63"/>
      <c r="H83" s="65"/>
      <c r="I83" s="65">
        <f t="shared" si="1"/>
        <v>0</v>
      </c>
    </row>
    <row r="84" spans="1:9" ht="27">
      <c r="A84" s="56">
        <v>79</v>
      </c>
      <c r="B84" s="57" t="s">
        <v>178</v>
      </c>
      <c r="C84" s="58" t="s">
        <v>294</v>
      </c>
      <c r="D84" s="58" t="s">
        <v>273</v>
      </c>
      <c r="E84" s="59" t="s">
        <v>273</v>
      </c>
      <c r="F84" s="58">
        <v>6297</v>
      </c>
      <c r="G84" s="58"/>
      <c r="H84" s="60"/>
      <c r="I84" s="60">
        <f t="shared" si="1"/>
        <v>0</v>
      </c>
    </row>
    <row r="85" spans="1:9" ht="51">
      <c r="A85" s="51">
        <v>80</v>
      </c>
      <c r="B85" s="52" t="s">
        <v>179</v>
      </c>
      <c r="C85" s="53" t="s">
        <v>294</v>
      </c>
      <c r="D85" s="53" t="s">
        <v>323</v>
      </c>
      <c r="E85" s="54" t="s">
        <v>324</v>
      </c>
      <c r="F85" s="53">
        <v>56956</v>
      </c>
      <c r="G85" s="53"/>
      <c r="H85" s="55"/>
      <c r="I85" s="55">
        <f t="shared" si="1"/>
        <v>0</v>
      </c>
    </row>
    <row r="86" spans="1:9">
      <c r="A86" s="61">
        <v>81</v>
      </c>
      <c r="B86" s="62" t="s">
        <v>181</v>
      </c>
      <c r="C86" s="63" t="s">
        <v>264</v>
      </c>
      <c r="D86" s="63">
        <v>22093</v>
      </c>
      <c r="E86" s="64">
        <v>46387</v>
      </c>
      <c r="F86" s="63">
        <v>53216</v>
      </c>
      <c r="G86" s="63"/>
      <c r="H86" s="65"/>
      <c r="I86" s="65">
        <f t="shared" si="1"/>
        <v>0</v>
      </c>
    </row>
    <row r="87" spans="1:9" ht="27">
      <c r="A87" s="56">
        <v>82</v>
      </c>
      <c r="B87" s="57" t="s">
        <v>182</v>
      </c>
      <c r="C87" s="58" t="s">
        <v>294</v>
      </c>
      <c r="D87" s="58" t="s">
        <v>325</v>
      </c>
      <c r="E87" s="59">
        <v>47574</v>
      </c>
      <c r="F87" s="58">
        <v>53948</v>
      </c>
      <c r="G87" s="58"/>
      <c r="H87" s="60"/>
      <c r="I87" s="60">
        <f t="shared" si="1"/>
        <v>0</v>
      </c>
    </row>
    <row r="88" spans="1:9">
      <c r="A88" s="51">
        <v>83</v>
      </c>
      <c r="B88" s="52" t="s">
        <v>184</v>
      </c>
      <c r="C88" s="53" t="s">
        <v>326</v>
      </c>
      <c r="D88" s="53" t="s">
        <v>327</v>
      </c>
      <c r="E88" s="54">
        <v>46589</v>
      </c>
      <c r="F88" s="53">
        <v>335540</v>
      </c>
      <c r="G88" s="53"/>
      <c r="H88" s="55"/>
      <c r="I88" s="55">
        <f t="shared" si="1"/>
        <v>0</v>
      </c>
    </row>
    <row r="89" spans="1:9">
      <c r="A89" s="56">
        <v>84</v>
      </c>
      <c r="B89" s="57" t="s">
        <v>191</v>
      </c>
      <c r="C89" s="58" t="s">
        <v>294</v>
      </c>
      <c r="D89" s="58">
        <v>20241215</v>
      </c>
      <c r="E89" s="59">
        <v>47466</v>
      </c>
      <c r="F89" s="58">
        <v>54420</v>
      </c>
      <c r="G89" s="58"/>
      <c r="H89" s="60"/>
      <c r="I89" s="60">
        <f t="shared" si="1"/>
        <v>0</v>
      </c>
    </row>
    <row r="90" spans="1:9">
      <c r="A90" s="56">
        <v>85</v>
      </c>
      <c r="B90" s="57" t="s">
        <v>192</v>
      </c>
      <c r="C90" s="58" t="s">
        <v>294</v>
      </c>
      <c r="D90" s="58">
        <v>20241215</v>
      </c>
      <c r="E90" s="59">
        <v>47466</v>
      </c>
      <c r="F90" s="58">
        <v>54426</v>
      </c>
      <c r="G90" s="58"/>
      <c r="H90" s="60"/>
      <c r="I90" s="60">
        <f t="shared" si="1"/>
        <v>0</v>
      </c>
    </row>
    <row r="91" spans="1:9" ht="27">
      <c r="A91" s="51">
        <v>86</v>
      </c>
      <c r="B91" s="52" t="s">
        <v>196</v>
      </c>
      <c r="C91" s="53" t="s">
        <v>294</v>
      </c>
      <c r="D91" s="53">
        <v>20221030</v>
      </c>
      <c r="E91" s="54">
        <v>46661</v>
      </c>
      <c r="F91" s="53">
        <v>53109</v>
      </c>
      <c r="G91" s="53"/>
      <c r="H91" s="55"/>
      <c r="I91" s="55">
        <f t="shared" si="1"/>
        <v>0</v>
      </c>
    </row>
    <row r="92" spans="1:9" ht="27">
      <c r="A92" s="56">
        <v>87</v>
      </c>
      <c r="B92" s="57" t="s">
        <v>197</v>
      </c>
      <c r="C92" s="58" t="s">
        <v>294</v>
      </c>
      <c r="D92" s="58">
        <v>2506021896</v>
      </c>
      <c r="E92" s="59">
        <v>47529</v>
      </c>
      <c r="F92" s="58">
        <v>53442</v>
      </c>
      <c r="G92" s="58"/>
      <c r="H92" s="60"/>
      <c r="I92" s="60">
        <f t="shared" si="1"/>
        <v>0</v>
      </c>
    </row>
    <row r="93" spans="1:9" ht="27">
      <c r="A93" s="56">
        <v>88</v>
      </c>
      <c r="B93" s="57" t="s">
        <v>198</v>
      </c>
      <c r="C93" s="58" t="s">
        <v>294</v>
      </c>
      <c r="D93" s="58">
        <v>2031106</v>
      </c>
      <c r="E93" s="59">
        <v>47908</v>
      </c>
      <c r="F93" s="58">
        <v>54297</v>
      </c>
      <c r="G93" s="58"/>
      <c r="H93" s="60"/>
      <c r="I93" s="60">
        <f t="shared" si="1"/>
        <v>0</v>
      </c>
    </row>
    <row r="94" spans="1:9" ht="27">
      <c r="A94" s="56">
        <v>89</v>
      </c>
      <c r="B94" s="57" t="s">
        <v>199</v>
      </c>
      <c r="C94" s="58" t="s">
        <v>294</v>
      </c>
      <c r="D94" s="58">
        <v>20240428</v>
      </c>
      <c r="E94" s="59">
        <v>47235</v>
      </c>
      <c r="F94" s="58">
        <v>53952</v>
      </c>
      <c r="G94" s="58"/>
      <c r="H94" s="60"/>
      <c r="I94" s="60">
        <f t="shared" si="1"/>
        <v>0</v>
      </c>
    </row>
    <row r="95" spans="1:9" ht="27">
      <c r="A95" s="56">
        <v>90</v>
      </c>
      <c r="B95" s="57" t="s">
        <v>200</v>
      </c>
      <c r="C95" s="58" t="s">
        <v>294</v>
      </c>
      <c r="D95" s="58">
        <v>20240908</v>
      </c>
      <c r="E95" s="59">
        <v>47368</v>
      </c>
      <c r="F95" s="58">
        <v>53782</v>
      </c>
      <c r="G95" s="58"/>
      <c r="H95" s="60"/>
      <c r="I95" s="60">
        <f t="shared" si="1"/>
        <v>0</v>
      </c>
    </row>
    <row r="96" spans="1:9" ht="27">
      <c r="A96" s="56">
        <v>91</v>
      </c>
      <c r="B96" s="57" t="s">
        <v>201</v>
      </c>
      <c r="C96" s="58" t="s">
        <v>264</v>
      </c>
      <c r="D96" s="58">
        <v>20240810</v>
      </c>
      <c r="E96" s="59">
        <v>47338</v>
      </c>
      <c r="F96" s="58">
        <v>57143</v>
      </c>
      <c r="G96" s="58"/>
      <c r="H96" s="60"/>
      <c r="I96" s="60">
        <f t="shared" si="1"/>
        <v>0</v>
      </c>
    </row>
    <row r="97" spans="1:9">
      <c r="A97" s="56">
        <v>92</v>
      </c>
      <c r="B97" s="57" t="s">
        <v>203</v>
      </c>
      <c r="C97" s="58" t="s">
        <v>294</v>
      </c>
      <c r="D97" s="58" t="s">
        <v>273</v>
      </c>
      <c r="E97" s="59" t="s">
        <v>273</v>
      </c>
      <c r="F97" s="58">
        <v>308324</v>
      </c>
      <c r="G97" s="58"/>
      <c r="H97" s="60"/>
      <c r="I97" s="60">
        <f t="shared" si="1"/>
        <v>0</v>
      </c>
    </row>
    <row r="98" spans="1:9">
      <c r="A98" s="56">
        <v>93</v>
      </c>
      <c r="B98" s="57" t="s">
        <v>204</v>
      </c>
      <c r="C98" s="58" t="s">
        <v>264</v>
      </c>
      <c r="D98" s="58" t="s">
        <v>328</v>
      </c>
      <c r="E98" s="59">
        <v>47270</v>
      </c>
      <c r="F98" s="58">
        <v>365002</v>
      </c>
      <c r="G98" s="58"/>
      <c r="H98" s="60"/>
      <c r="I98" s="60">
        <f t="shared" si="1"/>
        <v>0</v>
      </c>
    </row>
    <row r="99" spans="1:9">
      <c r="A99" s="56">
        <v>94</v>
      </c>
      <c r="B99" s="57" t="s">
        <v>205</v>
      </c>
      <c r="C99" s="58" t="s">
        <v>264</v>
      </c>
      <c r="D99" s="58" t="s">
        <v>328</v>
      </c>
      <c r="E99" s="59">
        <v>47270</v>
      </c>
      <c r="F99" s="58">
        <v>335880</v>
      </c>
      <c r="G99" s="58"/>
      <c r="H99" s="60"/>
      <c r="I99" s="60">
        <f t="shared" si="1"/>
        <v>0</v>
      </c>
    </row>
    <row r="100" spans="1:9">
      <c r="A100" s="61">
        <v>95</v>
      </c>
      <c r="B100" s="62" t="s">
        <v>207</v>
      </c>
      <c r="C100" s="63" t="s">
        <v>294</v>
      </c>
      <c r="D100" s="63">
        <v>29530331</v>
      </c>
      <c r="E100" s="64">
        <v>46445</v>
      </c>
      <c r="F100" s="63">
        <v>53942</v>
      </c>
      <c r="G100" s="63"/>
      <c r="H100" s="65"/>
      <c r="I100" s="65">
        <f t="shared" si="1"/>
        <v>0</v>
      </c>
    </row>
    <row r="101" spans="1:9">
      <c r="A101" s="56">
        <v>96</v>
      </c>
      <c r="B101" s="57" t="s">
        <v>210</v>
      </c>
      <c r="C101" s="58" t="s">
        <v>294</v>
      </c>
      <c r="D101" s="58">
        <v>240108</v>
      </c>
      <c r="E101" s="59">
        <v>47125</v>
      </c>
      <c r="F101" s="58">
        <v>54104</v>
      </c>
      <c r="G101" s="58"/>
      <c r="H101" s="60"/>
      <c r="I101" s="60">
        <f t="shared" si="1"/>
        <v>0</v>
      </c>
    </row>
    <row r="102" spans="1:9">
      <c r="A102" s="56">
        <v>97</v>
      </c>
      <c r="B102" s="57" t="s">
        <v>211</v>
      </c>
      <c r="C102" s="58" t="s">
        <v>294</v>
      </c>
      <c r="D102" s="58">
        <v>230710</v>
      </c>
      <c r="E102" s="59" t="s">
        <v>273</v>
      </c>
      <c r="F102" s="58">
        <v>53786</v>
      </c>
      <c r="G102" s="58"/>
      <c r="H102" s="60"/>
      <c r="I102" s="60">
        <f t="shared" si="1"/>
        <v>0</v>
      </c>
    </row>
    <row r="103" spans="1:9" ht="27">
      <c r="A103" s="56">
        <v>98</v>
      </c>
      <c r="B103" s="57" t="s">
        <v>217</v>
      </c>
      <c r="C103" s="58" t="s">
        <v>294</v>
      </c>
      <c r="D103" s="58" t="s">
        <v>329</v>
      </c>
      <c r="E103" s="59">
        <v>46874</v>
      </c>
      <c r="F103" s="58">
        <v>113419</v>
      </c>
      <c r="G103" s="58"/>
      <c r="H103" s="60"/>
      <c r="I103" s="60">
        <f t="shared" si="1"/>
        <v>0</v>
      </c>
    </row>
    <row r="104" spans="1:9" ht="27">
      <c r="A104" s="56">
        <v>99</v>
      </c>
      <c r="B104" s="57" t="s">
        <v>219</v>
      </c>
      <c r="C104" s="58" t="s">
        <v>294</v>
      </c>
      <c r="D104" s="58" t="s">
        <v>330</v>
      </c>
      <c r="E104" s="59">
        <v>47604</v>
      </c>
      <c r="F104" s="58">
        <v>113416</v>
      </c>
      <c r="G104" s="58"/>
      <c r="H104" s="60"/>
      <c r="I104" s="60">
        <f t="shared" si="1"/>
        <v>0</v>
      </c>
    </row>
    <row r="105" spans="1:9" ht="39.75">
      <c r="A105" s="56">
        <v>100</v>
      </c>
      <c r="B105" s="57" t="s">
        <v>221</v>
      </c>
      <c r="C105" s="58" t="s">
        <v>294</v>
      </c>
      <c r="D105" s="58" t="s">
        <v>331</v>
      </c>
      <c r="E105" s="59">
        <v>47392</v>
      </c>
      <c r="F105" s="58">
        <v>220013</v>
      </c>
      <c r="G105" s="58"/>
      <c r="H105" s="60"/>
      <c r="I105" s="60">
        <f t="shared" si="1"/>
        <v>0</v>
      </c>
    </row>
    <row r="106" spans="1:9" ht="27">
      <c r="A106" s="56">
        <v>101</v>
      </c>
      <c r="B106" s="57" t="s">
        <v>223</v>
      </c>
      <c r="C106" s="58" t="s">
        <v>294</v>
      </c>
      <c r="D106" s="58">
        <v>20250307</v>
      </c>
      <c r="E106" s="59">
        <v>46818</v>
      </c>
      <c r="F106" s="58">
        <v>254167</v>
      </c>
      <c r="G106" s="58"/>
      <c r="H106" s="60"/>
      <c r="I106" s="60">
        <f t="shared" si="1"/>
        <v>0</v>
      </c>
    </row>
    <row r="107" spans="1:9" ht="27">
      <c r="A107" s="56">
        <v>102</v>
      </c>
      <c r="B107" s="57" t="s">
        <v>225</v>
      </c>
      <c r="C107" s="58" t="s">
        <v>294</v>
      </c>
      <c r="D107" s="58">
        <v>20250615</v>
      </c>
      <c r="E107" s="59">
        <v>46918</v>
      </c>
      <c r="F107" s="58">
        <v>54173</v>
      </c>
      <c r="G107" s="58"/>
      <c r="H107" s="60"/>
      <c r="I107" s="60">
        <f t="shared" si="1"/>
        <v>0</v>
      </c>
    </row>
    <row r="108" spans="1:9">
      <c r="A108" s="56">
        <v>103</v>
      </c>
      <c r="B108" s="57" t="s">
        <v>228</v>
      </c>
      <c r="C108" s="58" t="s">
        <v>264</v>
      </c>
      <c r="D108" s="58" t="s">
        <v>332</v>
      </c>
      <c r="E108" s="59">
        <v>47484</v>
      </c>
      <c r="F108" s="58">
        <v>53626</v>
      </c>
      <c r="G108" s="58"/>
      <c r="H108" s="60"/>
      <c r="I108" s="60">
        <f t="shared" si="1"/>
        <v>0</v>
      </c>
    </row>
    <row r="109" spans="1:9" ht="27">
      <c r="A109" s="56">
        <v>104</v>
      </c>
      <c r="B109" s="57" t="s">
        <v>229</v>
      </c>
      <c r="C109" s="58" t="s">
        <v>264</v>
      </c>
      <c r="D109" s="58" t="s">
        <v>333</v>
      </c>
      <c r="E109" s="59">
        <v>47757</v>
      </c>
      <c r="F109" s="58">
        <v>53604</v>
      </c>
      <c r="G109" s="58"/>
      <c r="H109" s="60"/>
      <c r="I109" s="60">
        <f t="shared" si="1"/>
        <v>0</v>
      </c>
    </row>
    <row r="110" spans="1:9">
      <c r="A110" s="56">
        <v>105</v>
      </c>
      <c r="B110" s="57" t="s">
        <v>243</v>
      </c>
      <c r="C110" s="58" t="s">
        <v>264</v>
      </c>
      <c r="D110" s="58" t="s">
        <v>273</v>
      </c>
      <c r="E110" s="59" t="s">
        <v>273</v>
      </c>
      <c r="F110" s="58">
        <v>6090</v>
      </c>
      <c r="G110" s="58"/>
      <c r="H110" s="60"/>
      <c r="I110" s="60">
        <f t="shared" si="1"/>
        <v>0</v>
      </c>
    </row>
    <row r="111" spans="1:9">
      <c r="A111" s="56">
        <v>106</v>
      </c>
      <c r="B111" s="57" t="s">
        <v>244</v>
      </c>
      <c r="C111" s="58" t="s">
        <v>264</v>
      </c>
      <c r="D111" s="58" t="s">
        <v>273</v>
      </c>
      <c r="E111" s="59" t="s">
        <v>273</v>
      </c>
      <c r="F111" s="58">
        <v>6144</v>
      </c>
      <c r="G111" s="58"/>
      <c r="H111" s="60"/>
      <c r="I111" s="60">
        <f t="shared" si="1"/>
        <v>0</v>
      </c>
    </row>
    <row r="112" spans="1:9">
      <c r="A112" s="51">
        <v>107</v>
      </c>
      <c r="B112" s="52" t="s">
        <v>334</v>
      </c>
      <c r="C112" s="53" t="s">
        <v>264</v>
      </c>
      <c r="D112" s="69" t="s">
        <v>335</v>
      </c>
      <c r="E112" s="54">
        <v>46588</v>
      </c>
      <c r="F112" s="53">
        <v>53438</v>
      </c>
      <c r="G112" s="53"/>
      <c r="H112" s="55"/>
      <c r="I112" s="55">
        <f t="shared" si="1"/>
        <v>0</v>
      </c>
    </row>
    <row r="113" spans="1:9">
      <c r="A113" s="56">
        <v>108</v>
      </c>
      <c r="B113" s="57" t="s">
        <v>336</v>
      </c>
      <c r="C113" s="58" t="s">
        <v>268</v>
      </c>
      <c r="D113" s="58" t="s">
        <v>273</v>
      </c>
      <c r="E113" s="59" t="s">
        <v>273</v>
      </c>
      <c r="F113" s="58">
        <v>54471</v>
      </c>
      <c r="G113" s="58"/>
      <c r="H113" s="60"/>
      <c r="I113" s="60">
        <f t="shared" si="1"/>
        <v>0</v>
      </c>
    </row>
    <row r="114" spans="1:9">
      <c r="A114" s="56">
        <v>109</v>
      </c>
      <c r="B114" s="57" t="s">
        <v>231</v>
      </c>
      <c r="C114" s="58" t="s">
        <v>264</v>
      </c>
      <c r="D114" s="58" t="s">
        <v>273</v>
      </c>
      <c r="E114" s="59" t="s">
        <v>273</v>
      </c>
      <c r="F114" s="58">
        <v>53940</v>
      </c>
      <c r="G114" s="58"/>
      <c r="H114" s="60"/>
      <c r="I114" s="60">
        <f t="shared" si="1"/>
        <v>0</v>
      </c>
    </row>
    <row r="115" spans="1:9">
      <c r="A115" s="56">
        <v>110</v>
      </c>
      <c r="B115" s="57" t="s">
        <v>337</v>
      </c>
      <c r="C115" s="58" t="s">
        <v>264</v>
      </c>
      <c r="D115" s="58" t="s">
        <v>273</v>
      </c>
      <c r="E115" s="59" t="s">
        <v>273</v>
      </c>
      <c r="F115" s="58">
        <v>364559</v>
      </c>
      <c r="G115" s="58"/>
      <c r="H115" s="60"/>
      <c r="I115" s="60">
        <f t="shared" si="1"/>
        <v>0</v>
      </c>
    </row>
    <row r="116" spans="1:9">
      <c r="A116" s="56">
        <v>111</v>
      </c>
      <c r="B116" s="57" t="s">
        <v>338</v>
      </c>
      <c r="C116" s="58" t="s">
        <v>264</v>
      </c>
      <c r="D116" s="58" t="s">
        <v>273</v>
      </c>
      <c r="E116" s="59" t="s">
        <v>273</v>
      </c>
      <c r="F116" s="58">
        <v>173968</v>
      </c>
      <c r="G116" s="58"/>
      <c r="H116" s="60"/>
      <c r="I116" s="60">
        <f t="shared" si="1"/>
        <v>0</v>
      </c>
    </row>
    <row r="117" spans="1:9">
      <c r="A117" s="56">
        <v>112</v>
      </c>
      <c r="B117" s="57" t="s">
        <v>339</v>
      </c>
      <c r="C117" s="58" t="s">
        <v>264</v>
      </c>
      <c r="D117" s="58" t="s">
        <v>273</v>
      </c>
      <c r="E117" s="59" t="s">
        <v>273</v>
      </c>
      <c r="F117" s="58">
        <v>267085</v>
      </c>
      <c r="G117" s="58"/>
      <c r="H117" s="60"/>
      <c r="I117" s="60">
        <f t="shared" si="1"/>
        <v>0</v>
      </c>
    </row>
    <row r="118" spans="1:9">
      <c r="A118" s="51">
        <v>113</v>
      </c>
      <c r="B118" s="52" t="s">
        <v>340</v>
      </c>
      <c r="C118" s="53" t="s">
        <v>264</v>
      </c>
      <c r="D118" s="53">
        <v>25080760</v>
      </c>
      <c r="E118" s="54">
        <v>46605</v>
      </c>
      <c r="F118" s="53">
        <v>54102</v>
      </c>
      <c r="G118" s="53"/>
      <c r="H118" s="55"/>
      <c r="I118" s="55">
        <f t="shared" si="1"/>
        <v>0</v>
      </c>
    </row>
    <row r="119" spans="1:9">
      <c r="A119" s="70" t="s">
        <v>341</v>
      </c>
      <c r="B119" s="70"/>
      <c r="C119" s="71"/>
      <c r="D119" s="72"/>
      <c r="E119" s="72"/>
      <c r="F119" s="72"/>
      <c r="G119" s="72"/>
      <c r="H119" s="73"/>
      <c r="I119" s="74">
        <f>SUM(I6:I118)</f>
        <v>0</v>
      </c>
    </row>
    <row r="128" spans="1:9">
      <c r="B128" s="75" t="s">
        <v>342</v>
      </c>
      <c r="F128" s="75" t="s">
        <v>343</v>
      </c>
      <c r="G128" s="75"/>
      <c r="H128" s="75"/>
    </row>
    <row r="129" spans="2:8">
      <c r="B129" s="75"/>
      <c r="F129" s="75"/>
      <c r="G129" s="75"/>
      <c r="H129" s="75"/>
    </row>
    <row r="130" spans="2:8">
      <c r="B130" s="41"/>
    </row>
    <row r="131" spans="2:8">
      <c r="B131" s="41"/>
    </row>
    <row r="132" spans="2:8">
      <c r="B132" s="41"/>
    </row>
  </sheetData>
  <mergeCells count="4">
    <mergeCell ref="B1:I3"/>
    <mergeCell ref="A119:B119"/>
    <mergeCell ref="B128:B129"/>
    <mergeCell ref="F128:H129"/>
  </mergeCells>
  <pageMargins left="0.78740157480314965" right="0.23622047244094491" top="0.31496062992125984" bottom="0.27559055118110237" header="0.31496062992125984" footer="0.31496062992125984"/>
  <pageSetup scale="70" orientation="landscape" r:id="rId1"/>
  <rowBreaks count="2" manualBreakCount="2">
    <brk id="29" max="8" man="1"/>
    <brk id="6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8698-27A8-425E-8774-3AC955A358B4}">
  <dimension ref="A1:AF223"/>
  <sheetViews>
    <sheetView zoomScaleNormal="100" workbookViewId="0">
      <pane ySplit="1" topLeftCell="A56" activePane="bottomLeft" state="frozen"/>
      <selection pane="bottomLeft" activeCell="N68" sqref="N68"/>
    </sheetView>
  </sheetViews>
  <sheetFormatPr baseColWidth="10" defaultRowHeight="15" outlineLevelCol="1"/>
  <cols>
    <col min="2" max="2" width="49" customWidth="1"/>
    <col min="5" max="5" width="8.28515625" bestFit="1" customWidth="1"/>
    <col min="6" max="13" width="5.28515625" customWidth="1" outlineLevel="1"/>
    <col min="14" max="15" width="4.42578125" customWidth="1" outlineLevel="1"/>
    <col min="16" max="21" width="5.28515625" customWidth="1" outlineLevel="1"/>
    <col min="22" max="22" width="4.42578125" customWidth="1" outlineLevel="1"/>
    <col min="23" max="23" width="4.85546875" customWidth="1" outlineLevel="1"/>
    <col min="24" max="24" width="5.85546875" customWidth="1" outlineLevel="1"/>
    <col min="25" max="26" width="5.28515625" customWidth="1" outlineLevel="1"/>
    <col min="27" max="27" width="10.42578125" bestFit="1" customWidth="1"/>
    <col min="28" max="28" width="13.28515625" style="36" customWidth="1"/>
    <col min="29" max="29" width="10.140625" style="37" bestFit="1" customWidth="1"/>
    <col min="30" max="30" width="10.140625" style="37" customWidth="1"/>
    <col min="31" max="31" width="13" bestFit="1" customWidth="1"/>
    <col min="32" max="32" width="11.140625" bestFit="1" customWidth="1"/>
  </cols>
  <sheetData>
    <row r="1" spans="1:32" ht="138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</row>
    <row r="2" spans="1:32" ht="15.75">
      <c r="A2" s="10">
        <v>2644</v>
      </c>
      <c r="B2" s="11" t="s">
        <v>32</v>
      </c>
      <c r="C2" s="12"/>
      <c r="D2" s="13">
        <v>0</v>
      </c>
      <c r="E2" s="12"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>
        <f>SUM(F2:Y2)</f>
        <v>0</v>
      </c>
      <c r="AA2" s="14">
        <f>(D2+E2)-(F2+G2+H2+I2+J2+K2+L2+M2+N2+O2+P2+Q2+R2+S2+T2+U2+V2+W2+X2+Y2)</f>
        <v>0</v>
      </c>
      <c r="AB2" s="15"/>
      <c r="AC2" s="16"/>
      <c r="AD2" s="16"/>
      <c r="AE2" s="17"/>
      <c r="AF2" s="17">
        <f t="shared" ref="AF2:AF65" si="0">AE2*AA2</f>
        <v>0</v>
      </c>
    </row>
    <row r="3" spans="1:32" ht="15.75">
      <c r="A3" s="18">
        <v>2947</v>
      </c>
      <c r="B3" s="19" t="s">
        <v>33</v>
      </c>
      <c r="C3" s="12"/>
      <c r="D3" s="13">
        <v>0</v>
      </c>
      <c r="E3" s="12"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>
        <f t="shared" ref="Z3:Z66" si="1">SUM(F3:Y3)</f>
        <v>0</v>
      </c>
      <c r="AA3" s="14">
        <f t="shared" ref="AA3:AA66" si="2">(D3+E3)-(F3+G3+H3+I3+J3+K3+L3+M3+N3+O3+P3+Q3+R3+S3+T3+U3+V3+W3+X3+Y3)</f>
        <v>0</v>
      </c>
      <c r="AB3" s="15"/>
      <c r="AC3" s="16"/>
      <c r="AD3" s="16"/>
      <c r="AE3" s="17"/>
      <c r="AF3" s="17">
        <f t="shared" si="0"/>
        <v>0</v>
      </c>
    </row>
    <row r="4" spans="1:32" ht="15.75">
      <c r="A4" s="20">
        <v>2646</v>
      </c>
      <c r="B4" s="21" t="s">
        <v>34</v>
      </c>
      <c r="C4" s="12"/>
      <c r="D4" s="13">
        <v>0</v>
      </c>
      <c r="E4" s="12"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>
        <f t="shared" si="1"/>
        <v>0</v>
      </c>
      <c r="AA4" s="14">
        <f t="shared" si="2"/>
        <v>0</v>
      </c>
      <c r="AB4" s="15"/>
      <c r="AC4" s="16"/>
      <c r="AD4" s="16"/>
      <c r="AE4" s="17"/>
      <c r="AF4" s="17">
        <f t="shared" si="0"/>
        <v>0</v>
      </c>
    </row>
    <row r="5" spans="1:32" ht="31.5">
      <c r="A5" s="18">
        <v>1798</v>
      </c>
      <c r="B5" s="19" t="s">
        <v>35</v>
      </c>
      <c r="C5" s="12"/>
      <c r="D5" s="13">
        <v>0</v>
      </c>
      <c r="E5" s="12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>
        <f t="shared" si="1"/>
        <v>0</v>
      </c>
      <c r="AA5" s="14">
        <f t="shared" si="2"/>
        <v>0</v>
      </c>
      <c r="AB5" s="15"/>
      <c r="AC5" s="16"/>
      <c r="AD5" s="16"/>
      <c r="AE5" s="17"/>
      <c r="AF5" s="17">
        <f t="shared" si="0"/>
        <v>0</v>
      </c>
    </row>
    <row r="6" spans="1:32" ht="15.75">
      <c r="A6" s="20">
        <v>2725</v>
      </c>
      <c r="B6" s="21" t="s">
        <v>36</v>
      </c>
      <c r="C6" s="12"/>
      <c r="D6" s="13">
        <v>0</v>
      </c>
      <c r="E6" s="12">
        <v>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>
        <f t="shared" si="1"/>
        <v>0</v>
      </c>
      <c r="AA6" s="14">
        <f t="shared" si="2"/>
        <v>0</v>
      </c>
      <c r="AB6" s="15"/>
      <c r="AC6" s="16"/>
      <c r="AD6" s="16"/>
      <c r="AE6" s="17"/>
      <c r="AF6" s="17">
        <f t="shared" si="0"/>
        <v>0</v>
      </c>
    </row>
    <row r="7" spans="1:32" ht="31.5">
      <c r="A7" s="18">
        <v>2191</v>
      </c>
      <c r="B7" s="19" t="s">
        <v>37</v>
      </c>
      <c r="C7" s="12"/>
      <c r="D7" s="13">
        <v>0</v>
      </c>
      <c r="E7" s="12">
        <v>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>
        <f t="shared" si="1"/>
        <v>0</v>
      </c>
      <c r="AA7" s="14">
        <f t="shared" si="2"/>
        <v>0</v>
      </c>
      <c r="AB7" s="15"/>
      <c r="AC7" s="16"/>
      <c r="AD7" s="16"/>
      <c r="AE7" s="17"/>
      <c r="AF7" s="17">
        <f t="shared" si="0"/>
        <v>0</v>
      </c>
    </row>
    <row r="8" spans="1:32" ht="31.5">
      <c r="A8" s="20">
        <v>2180</v>
      </c>
      <c r="B8" s="21" t="s">
        <v>38</v>
      </c>
      <c r="C8" s="12"/>
      <c r="D8" s="13">
        <v>0</v>
      </c>
      <c r="E8" s="12">
        <v>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>
        <f t="shared" si="1"/>
        <v>0</v>
      </c>
      <c r="AA8" s="14">
        <f t="shared" si="2"/>
        <v>0</v>
      </c>
      <c r="AB8" s="15"/>
      <c r="AC8" s="16"/>
      <c r="AD8" s="16"/>
      <c r="AE8" s="17"/>
      <c r="AF8" s="17">
        <f t="shared" si="0"/>
        <v>0</v>
      </c>
    </row>
    <row r="9" spans="1:32" ht="15.75">
      <c r="A9" s="18">
        <v>3041</v>
      </c>
      <c r="B9" s="19" t="s">
        <v>39</v>
      </c>
      <c r="C9" s="12"/>
      <c r="D9" s="13">
        <v>0</v>
      </c>
      <c r="E9" s="12">
        <v>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>
        <f t="shared" si="1"/>
        <v>0</v>
      </c>
      <c r="AA9" s="14">
        <f t="shared" si="2"/>
        <v>0</v>
      </c>
      <c r="AB9" s="15"/>
      <c r="AC9" s="16"/>
      <c r="AD9" s="16"/>
      <c r="AE9" s="17"/>
      <c r="AF9" s="17">
        <f t="shared" si="0"/>
        <v>0</v>
      </c>
    </row>
    <row r="10" spans="1:32" ht="15.75">
      <c r="A10" s="20">
        <v>3040</v>
      </c>
      <c r="B10" s="21" t="s">
        <v>40</v>
      </c>
      <c r="C10" s="12"/>
      <c r="D10" s="13">
        <v>0</v>
      </c>
      <c r="E10" s="12">
        <v>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>
        <f t="shared" si="1"/>
        <v>0</v>
      </c>
      <c r="AA10" s="14">
        <f t="shared" si="2"/>
        <v>0</v>
      </c>
      <c r="AB10" s="15"/>
      <c r="AC10" s="16"/>
      <c r="AD10" s="16"/>
      <c r="AE10" s="17"/>
      <c r="AF10" s="17">
        <f t="shared" si="0"/>
        <v>0</v>
      </c>
    </row>
    <row r="11" spans="1:32" ht="31.5">
      <c r="A11" s="18">
        <v>2078</v>
      </c>
      <c r="B11" s="19" t="s">
        <v>41</v>
      </c>
      <c r="C11" s="12"/>
      <c r="D11" s="13">
        <v>0</v>
      </c>
      <c r="E11" s="12">
        <v>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>
        <f t="shared" si="1"/>
        <v>0</v>
      </c>
      <c r="AA11" s="14">
        <f t="shared" si="2"/>
        <v>0</v>
      </c>
      <c r="AB11" s="15"/>
      <c r="AC11" s="16"/>
      <c r="AD11" s="16"/>
      <c r="AE11" s="17"/>
      <c r="AF11" s="17">
        <f t="shared" si="0"/>
        <v>0</v>
      </c>
    </row>
    <row r="12" spans="1:32" ht="47.25">
      <c r="A12" s="20">
        <v>2060</v>
      </c>
      <c r="B12" s="21" t="s">
        <v>42</v>
      </c>
      <c r="C12" s="12"/>
      <c r="D12" s="13">
        <v>0</v>
      </c>
      <c r="E12" s="12">
        <v>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f t="shared" si="1"/>
        <v>0</v>
      </c>
      <c r="AA12" s="14">
        <f t="shared" si="2"/>
        <v>0</v>
      </c>
      <c r="AB12" s="15"/>
      <c r="AC12" s="16"/>
      <c r="AD12" s="16"/>
      <c r="AE12" s="17"/>
      <c r="AF12" s="17">
        <f t="shared" si="0"/>
        <v>0</v>
      </c>
    </row>
    <row r="13" spans="1:32" ht="31.5">
      <c r="A13" s="18">
        <v>2061</v>
      </c>
      <c r="B13" s="19" t="s">
        <v>43</v>
      </c>
      <c r="C13" s="12"/>
      <c r="D13" s="13">
        <v>0</v>
      </c>
      <c r="E13" s="12">
        <v>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>
        <f t="shared" si="1"/>
        <v>0</v>
      </c>
      <c r="AA13" s="14">
        <f t="shared" si="2"/>
        <v>0</v>
      </c>
      <c r="AB13" s="15"/>
      <c r="AC13" s="16"/>
      <c r="AD13" s="16"/>
      <c r="AE13" s="17"/>
      <c r="AF13" s="17">
        <f t="shared" si="0"/>
        <v>0</v>
      </c>
    </row>
    <row r="14" spans="1:32" ht="31.5">
      <c r="A14" s="20">
        <v>2062</v>
      </c>
      <c r="B14" s="21" t="s">
        <v>44</v>
      </c>
      <c r="C14" s="12"/>
      <c r="D14" s="13">
        <v>0</v>
      </c>
      <c r="E14" s="12"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>
        <f t="shared" si="1"/>
        <v>0</v>
      </c>
      <c r="AA14" s="14">
        <f t="shared" si="2"/>
        <v>0</v>
      </c>
      <c r="AB14" s="15"/>
      <c r="AC14" s="16"/>
      <c r="AD14" s="16"/>
      <c r="AE14" s="17"/>
      <c r="AF14" s="17">
        <f t="shared" si="0"/>
        <v>0</v>
      </c>
    </row>
    <row r="15" spans="1:32" ht="31.5">
      <c r="A15" s="18">
        <v>2768</v>
      </c>
      <c r="B15" s="19" t="s">
        <v>45</v>
      </c>
      <c r="C15" s="12"/>
      <c r="D15" s="13">
        <v>0</v>
      </c>
      <c r="E15" s="12">
        <v>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>
        <f t="shared" si="1"/>
        <v>0</v>
      </c>
      <c r="AA15" s="14">
        <f t="shared" si="2"/>
        <v>0</v>
      </c>
      <c r="AB15" s="15"/>
      <c r="AC15" s="16"/>
      <c r="AD15" s="16"/>
      <c r="AE15" s="17"/>
      <c r="AF15" s="17">
        <f t="shared" si="0"/>
        <v>0</v>
      </c>
    </row>
    <row r="16" spans="1:32" ht="31.5">
      <c r="A16" s="20">
        <v>1818</v>
      </c>
      <c r="B16" s="21" t="s">
        <v>46</v>
      </c>
      <c r="C16" s="12"/>
      <c r="D16" s="13">
        <v>0</v>
      </c>
      <c r="E16" s="12">
        <v>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>
        <f t="shared" si="1"/>
        <v>0</v>
      </c>
      <c r="AA16" s="14">
        <f t="shared" si="2"/>
        <v>0</v>
      </c>
      <c r="AB16" s="15"/>
      <c r="AC16" s="16"/>
      <c r="AD16" s="16"/>
      <c r="AE16" s="17"/>
      <c r="AF16" s="17">
        <f t="shared" si="0"/>
        <v>0</v>
      </c>
    </row>
    <row r="17" spans="1:32" ht="31.5">
      <c r="A17" s="18">
        <v>1822</v>
      </c>
      <c r="B17" s="19" t="s">
        <v>47</v>
      </c>
      <c r="C17" s="12"/>
      <c r="D17" s="13">
        <v>0</v>
      </c>
      <c r="E17" s="12">
        <v>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f t="shared" si="1"/>
        <v>0</v>
      </c>
      <c r="AA17" s="14">
        <f t="shared" si="2"/>
        <v>0</v>
      </c>
      <c r="AB17" s="15"/>
      <c r="AC17" s="16"/>
      <c r="AD17" s="16"/>
      <c r="AE17" s="17"/>
      <c r="AF17" s="17">
        <f t="shared" si="0"/>
        <v>0</v>
      </c>
    </row>
    <row r="18" spans="1:32" ht="31.5">
      <c r="A18" s="20">
        <v>1823</v>
      </c>
      <c r="B18" s="21" t="s">
        <v>48</v>
      </c>
      <c r="C18" s="12"/>
      <c r="D18" s="13">
        <v>0</v>
      </c>
      <c r="E18" s="12">
        <v>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>
        <f t="shared" si="1"/>
        <v>0</v>
      </c>
      <c r="AA18" s="14">
        <f t="shared" si="2"/>
        <v>0</v>
      </c>
      <c r="AB18" s="15"/>
      <c r="AC18" s="16"/>
      <c r="AD18" s="16"/>
      <c r="AE18" s="17"/>
      <c r="AF18" s="17">
        <f t="shared" si="0"/>
        <v>0</v>
      </c>
    </row>
    <row r="19" spans="1:32" ht="31.5">
      <c r="A19" s="18">
        <v>2747</v>
      </c>
      <c r="B19" s="19" t="s">
        <v>49</v>
      </c>
      <c r="C19" s="12"/>
      <c r="D19" s="13">
        <v>0</v>
      </c>
      <c r="E19" s="12">
        <v>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>
        <f t="shared" si="1"/>
        <v>0</v>
      </c>
      <c r="AA19" s="14">
        <f t="shared" si="2"/>
        <v>0</v>
      </c>
      <c r="AB19" s="15"/>
      <c r="AC19" s="16"/>
      <c r="AD19" s="16"/>
      <c r="AE19" s="17"/>
      <c r="AF19" s="17">
        <f t="shared" si="0"/>
        <v>0</v>
      </c>
    </row>
    <row r="20" spans="1:32" ht="31.5">
      <c r="A20" s="20">
        <v>2746</v>
      </c>
      <c r="B20" s="21" t="s">
        <v>50</v>
      </c>
      <c r="C20" s="12"/>
      <c r="D20" s="13">
        <v>0</v>
      </c>
      <c r="E20" s="12">
        <v>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>
        <f t="shared" si="1"/>
        <v>0</v>
      </c>
      <c r="AA20" s="14">
        <f t="shared" si="2"/>
        <v>0</v>
      </c>
      <c r="AB20" s="15"/>
      <c r="AC20" s="16"/>
      <c r="AD20" s="16"/>
      <c r="AE20" s="17"/>
      <c r="AF20" s="17">
        <f t="shared" si="0"/>
        <v>0</v>
      </c>
    </row>
    <row r="21" spans="1:32" ht="31.5">
      <c r="A21" s="18">
        <v>2745</v>
      </c>
      <c r="B21" s="19" t="s">
        <v>51</v>
      </c>
      <c r="C21" s="12"/>
      <c r="D21" s="13">
        <v>0</v>
      </c>
      <c r="E21" s="12">
        <v>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f t="shared" si="1"/>
        <v>0</v>
      </c>
      <c r="AA21" s="14">
        <f t="shared" si="2"/>
        <v>0</v>
      </c>
      <c r="AB21" s="15"/>
      <c r="AC21" s="16"/>
      <c r="AD21" s="16"/>
      <c r="AE21" s="17"/>
      <c r="AF21" s="17">
        <f t="shared" si="0"/>
        <v>0</v>
      </c>
    </row>
    <row r="22" spans="1:32" ht="15.75">
      <c r="A22" s="20">
        <v>3070</v>
      </c>
      <c r="B22" s="21" t="s">
        <v>52</v>
      </c>
      <c r="C22" s="12"/>
      <c r="D22" s="13">
        <v>0</v>
      </c>
      <c r="E22" s="12">
        <v>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>
        <f t="shared" si="1"/>
        <v>0</v>
      </c>
      <c r="AA22" s="14">
        <f t="shared" si="2"/>
        <v>0</v>
      </c>
      <c r="AB22" s="15"/>
      <c r="AC22" s="16"/>
      <c r="AD22" s="16"/>
      <c r="AE22" s="17"/>
      <c r="AF22" s="17">
        <f t="shared" si="0"/>
        <v>0</v>
      </c>
    </row>
    <row r="23" spans="1:32" ht="15.75">
      <c r="A23" s="18">
        <v>2647</v>
      </c>
      <c r="B23" s="19" t="s">
        <v>53</v>
      </c>
      <c r="C23" s="12"/>
      <c r="D23" s="13">
        <v>0</v>
      </c>
      <c r="E23" s="12">
        <v>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>
        <f t="shared" si="1"/>
        <v>0</v>
      </c>
      <c r="AA23" s="14">
        <f t="shared" si="2"/>
        <v>0</v>
      </c>
      <c r="AB23" s="15"/>
      <c r="AC23" s="16"/>
      <c r="AD23" s="16"/>
      <c r="AE23" s="17"/>
      <c r="AF23" s="17">
        <f t="shared" si="0"/>
        <v>0</v>
      </c>
    </row>
    <row r="24" spans="1:32" ht="15.75">
      <c r="A24" s="20">
        <v>2806</v>
      </c>
      <c r="B24" s="21" t="s">
        <v>54</v>
      </c>
      <c r="C24" s="12"/>
      <c r="D24" s="13">
        <v>0</v>
      </c>
      <c r="E24" s="12">
        <v>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>
        <f t="shared" si="1"/>
        <v>0</v>
      </c>
      <c r="AA24" s="14">
        <f t="shared" si="2"/>
        <v>0</v>
      </c>
      <c r="AB24" s="15"/>
      <c r="AC24" s="16"/>
      <c r="AD24" s="16"/>
      <c r="AE24" s="17"/>
      <c r="AF24" s="17">
        <f t="shared" si="0"/>
        <v>0</v>
      </c>
    </row>
    <row r="25" spans="1:32" ht="15.75">
      <c r="A25" s="18">
        <v>2858</v>
      </c>
      <c r="B25" s="19" t="s">
        <v>55</v>
      </c>
      <c r="C25" s="12"/>
      <c r="D25" s="13">
        <v>0</v>
      </c>
      <c r="E25" s="12">
        <v>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f t="shared" si="1"/>
        <v>0</v>
      </c>
      <c r="AA25" s="14">
        <f t="shared" si="2"/>
        <v>0</v>
      </c>
      <c r="AB25" s="15"/>
      <c r="AC25" s="16"/>
      <c r="AD25" s="16"/>
      <c r="AE25" s="17"/>
      <c r="AF25" s="17">
        <f t="shared" si="0"/>
        <v>0</v>
      </c>
    </row>
    <row r="26" spans="1:32" ht="15.75">
      <c r="A26" s="20">
        <v>2866</v>
      </c>
      <c r="B26" s="21" t="s">
        <v>56</v>
      </c>
      <c r="C26" s="12"/>
      <c r="D26" s="13">
        <v>0</v>
      </c>
      <c r="E26" s="12">
        <v>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>
        <f t="shared" si="1"/>
        <v>0</v>
      </c>
      <c r="AA26" s="14">
        <f t="shared" si="2"/>
        <v>0</v>
      </c>
      <c r="AB26" s="15"/>
      <c r="AC26" s="16"/>
      <c r="AD26" s="16"/>
      <c r="AE26" s="17"/>
      <c r="AF26" s="17">
        <f t="shared" si="0"/>
        <v>0</v>
      </c>
    </row>
    <row r="27" spans="1:32" ht="31.5">
      <c r="A27" s="18">
        <v>1595</v>
      </c>
      <c r="B27" s="19" t="s">
        <v>57</v>
      </c>
      <c r="C27" s="12"/>
      <c r="D27" s="13">
        <v>0</v>
      </c>
      <c r="E27" s="12">
        <v>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f t="shared" si="1"/>
        <v>0</v>
      </c>
      <c r="AA27" s="14">
        <f t="shared" si="2"/>
        <v>0</v>
      </c>
      <c r="AB27" s="15"/>
      <c r="AC27" s="16"/>
      <c r="AD27" s="16"/>
      <c r="AE27" s="17"/>
      <c r="AF27" s="17">
        <f t="shared" si="0"/>
        <v>0</v>
      </c>
    </row>
    <row r="28" spans="1:32" ht="15.75">
      <c r="A28" s="20">
        <v>1654</v>
      </c>
      <c r="B28" s="21" t="s">
        <v>58</v>
      </c>
      <c r="C28" s="12"/>
      <c r="D28" s="13">
        <v>0</v>
      </c>
      <c r="E28" s="12">
        <v>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>
        <f t="shared" si="1"/>
        <v>0</v>
      </c>
      <c r="AA28" s="14">
        <f t="shared" si="2"/>
        <v>0</v>
      </c>
      <c r="AB28" s="22"/>
      <c r="AC28" s="16"/>
      <c r="AD28" s="16"/>
      <c r="AE28" s="17"/>
      <c r="AF28" s="17">
        <f t="shared" si="0"/>
        <v>0</v>
      </c>
    </row>
    <row r="29" spans="1:32" ht="31.5">
      <c r="A29" s="18">
        <v>1655</v>
      </c>
      <c r="B29" s="19" t="s">
        <v>59</v>
      </c>
      <c r="C29" s="12"/>
      <c r="D29" s="13">
        <v>0</v>
      </c>
      <c r="E29" s="12">
        <v>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>
        <f t="shared" si="1"/>
        <v>0</v>
      </c>
      <c r="AA29" s="14">
        <f t="shared" si="2"/>
        <v>0</v>
      </c>
      <c r="AB29" s="15"/>
      <c r="AC29" s="16"/>
      <c r="AD29" s="16"/>
      <c r="AE29" s="17"/>
      <c r="AF29" s="17">
        <f t="shared" si="0"/>
        <v>0</v>
      </c>
    </row>
    <row r="30" spans="1:32" ht="31.5">
      <c r="A30" s="20">
        <v>1656</v>
      </c>
      <c r="B30" s="21" t="s">
        <v>60</v>
      </c>
      <c r="C30" s="12"/>
      <c r="D30" s="13">
        <v>0</v>
      </c>
      <c r="E30" s="12">
        <v>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>
        <f t="shared" si="1"/>
        <v>0</v>
      </c>
      <c r="AA30" s="14">
        <f t="shared" si="2"/>
        <v>0</v>
      </c>
      <c r="AB30" s="15"/>
      <c r="AC30" s="16"/>
      <c r="AD30" s="16"/>
      <c r="AE30" s="17"/>
      <c r="AF30" s="17">
        <f t="shared" si="0"/>
        <v>0</v>
      </c>
    </row>
    <row r="31" spans="1:32" ht="15.75">
      <c r="A31" s="18">
        <v>1657</v>
      </c>
      <c r="B31" s="19" t="s">
        <v>61</v>
      </c>
      <c r="C31" s="12"/>
      <c r="D31" s="13">
        <v>0</v>
      </c>
      <c r="E31" s="12">
        <v>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>
        <f t="shared" si="1"/>
        <v>0</v>
      </c>
      <c r="AA31" s="14">
        <f t="shared" si="2"/>
        <v>0</v>
      </c>
      <c r="AB31" s="15"/>
      <c r="AC31" s="16"/>
      <c r="AD31" s="16"/>
      <c r="AE31" s="17"/>
      <c r="AF31" s="17">
        <f t="shared" si="0"/>
        <v>0</v>
      </c>
    </row>
    <row r="32" spans="1:32" ht="15.75">
      <c r="A32" s="20">
        <v>2627</v>
      </c>
      <c r="B32" s="21" t="s">
        <v>62</v>
      </c>
      <c r="C32" s="12"/>
      <c r="D32" s="13">
        <v>0</v>
      </c>
      <c r="E32" s="12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>
        <f t="shared" si="1"/>
        <v>0</v>
      </c>
      <c r="AA32" s="14">
        <f t="shared" si="2"/>
        <v>0</v>
      </c>
      <c r="AB32" s="15"/>
      <c r="AC32" s="16"/>
      <c r="AD32" s="16"/>
      <c r="AE32" s="17"/>
      <c r="AF32" s="17">
        <f t="shared" si="0"/>
        <v>0</v>
      </c>
    </row>
    <row r="33" spans="1:32" ht="15.75">
      <c r="A33" s="18">
        <v>2356</v>
      </c>
      <c r="B33" s="19" t="s">
        <v>63</v>
      </c>
      <c r="C33" s="12"/>
      <c r="D33" s="13">
        <v>0</v>
      </c>
      <c r="E33" s="12">
        <v>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>
        <f t="shared" si="1"/>
        <v>0</v>
      </c>
      <c r="AA33" s="14">
        <f t="shared" si="2"/>
        <v>0</v>
      </c>
      <c r="AB33" s="15"/>
      <c r="AC33" s="16"/>
      <c r="AD33" s="16"/>
      <c r="AE33" s="17"/>
      <c r="AF33" s="17">
        <f t="shared" si="0"/>
        <v>0</v>
      </c>
    </row>
    <row r="34" spans="1:32" ht="15.75">
      <c r="A34" s="20">
        <v>2358</v>
      </c>
      <c r="B34" s="21" t="s">
        <v>64</v>
      </c>
      <c r="C34" s="12"/>
      <c r="D34" s="13">
        <v>0</v>
      </c>
      <c r="E34" s="12">
        <v>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>
        <f t="shared" si="1"/>
        <v>0</v>
      </c>
      <c r="AA34" s="14">
        <f t="shared" si="2"/>
        <v>0</v>
      </c>
      <c r="AB34" s="15"/>
      <c r="AC34" s="16"/>
      <c r="AD34" s="16"/>
      <c r="AE34" s="17"/>
      <c r="AF34" s="17">
        <f t="shared" si="0"/>
        <v>0</v>
      </c>
    </row>
    <row r="35" spans="1:32" ht="15.75">
      <c r="A35" s="18">
        <v>2367</v>
      </c>
      <c r="B35" s="19" t="s">
        <v>65</v>
      </c>
      <c r="C35" s="12"/>
      <c r="D35" s="13">
        <v>0</v>
      </c>
      <c r="E35" s="12">
        <v>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>
        <f t="shared" si="1"/>
        <v>0</v>
      </c>
      <c r="AA35" s="14">
        <f t="shared" si="2"/>
        <v>0</v>
      </c>
      <c r="AB35" s="15"/>
      <c r="AC35" s="16"/>
      <c r="AD35" s="16"/>
      <c r="AE35" s="17"/>
      <c r="AF35" s="17">
        <f t="shared" si="0"/>
        <v>0</v>
      </c>
    </row>
    <row r="36" spans="1:32" ht="15.75">
      <c r="A36" s="20">
        <v>1938</v>
      </c>
      <c r="B36" s="21" t="s">
        <v>66</v>
      </c>
      <c r="C36" s="12"/>
      <c r="D36" s="13">
        <v>0</v>
      </c>
      <c r="E36" s="12">
        <v>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>
        <f t="shared" si="1"/>
        <v>0</v>
      </c>
      <c r="AA36" s="14">
        <f t="shared" si="2"/>
        <v>0</v>
      </c>
      <c r="AB36" s="15"/>
      <c r="AC36" s="16"/>
      <c r="AD36" s="16"/>
      <c r="AE36" s="17"/>
      <c r="AF36" s="17">
        <f t="shared" si="0"/>
        <v>0</v>
      </c>
    </row>
    <row r="37" spans="1:32" ht="31.5">
      <c r="A37" s="18">
        <v>2121</v>
      </c>
      <c r="B37" s="19" t="s">
        <v>67</v>
      </c>
      <c r="C37" s="12"/>
      <c r="D37" s="13">
        <v>0</v>
      </c>
      <c r="E37" s="12">
        <v>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>
        <f t="shared" si="1"/>
        <v>0</v>
      </c>
      <c r="AA37" s="14">
        <f t="shared" si="2"/>
        <v>0</v>
      </c>
      <c r="AB37" s="15"/>
      <c r="AC37" s="16"/>
      <c r="AD37" s="16"/>
      <c r="AE37" s="17"/>
      <c r="AF37" s="17">
        <f t="shared" si="0"/>
        <v>0</v>
      </c>
    </row>
    <row r="38" spans="1:32" ht="15.75">
      <c r="A38" s="20">
        <v>2139</v>
      </c>
      <c r="B38" s="21" t="s">
        <v>68</v>
      </c>
      <c r="C38" s="12"/>
      <c r="D38" s="13">
        <v>0</v>
      </c>
      <c r="E38" s="12">
        <v>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>
        <f t="shared" si="1"/>
        <v>0</v>
      </c>
      <c r="AA38" s="14">
        <f t="shared" si="2"/>
        <v>0</v>
      </c>
      <c r="AB38" s="15"/>
      <c r="AC38" s="16"/>
      <c r="AD38" s="16"/>
      <c r="AE38" s="17"/>
      <c r="AF38" s="17">
        <f t="shared" si="0"/>
        <v>0</v>
      </c>
    </row>
    <row r="39" spans="1:32" ht="31.5">
      <c r="A39" s="18">
        <v>2259</v>
      </c>
      <c r="B39" s="19" t="s">
        <v>69</v>
      </c>
      <c r="C39" s="12"/>
      <c r="D39" s="13">
        <v>0</v>
      </c>
      <c r="E39" s="12">
        <v>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>
        <f t="shared" si="1"/>
        <v>0</v>
      </c>
      <c r="AA39" s="14">
        <f t="shared" si="2"/>
        <v>0</v>
      </c>
      <c r="AB39" s="15"/>
      <c r="AC39" s="16"/>
      <c r="AD39" s="16"/>
      <c r="AE39" s="17"/>
      <c r="AF39" s="17">
        <f t="shared" si="0"/>
        <v>0</v>
      </c>
    </row>
    <row r="40" spans="1:32" ht="15.75">
      <c r="A40" s="20">
        <v>2743</v>
      </c>
      <c r="B40" s="21" t="s">
        <v>70</v>
      </c>
      <c r="C40" s="12"/>
      <c r="D40" s="13">
        <v>0</v>
      </c>
      <c r="E40" s="12">
        <v>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f t="shared" si="1"/>
        <v>0</v>
      </c>
      <c r="AA40" s="14">
        <f t="shared" si="2"/>
        <v>0</v>
      </c>
      <c r="AB40" s="15"/>
      <c r="AC40" s="16"/>
      <c r="AD40" s="16"/>
      <c r="AE40" s="17"/>
      <c r="AF40" s="17">
        <f t="shared" si="0"/>
        <v>0</v>
      </c>
    </row>
    <row r="41" spans="1:32" ht="31.5">
      <c r="A41" s="18">
        <v>2648</v>
      </c>
      <c r="B41" s="19" t="s">
        <v>71</v>
      </c>
      <c r="C41" s="12"/>
      <c r="D41" s="13">
        <v>0</v>
      </c>
      <c r="E41" s="12"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>
        <f t="shared" si="1"/>
        <v>0</v>
      </c>
      <c r="AA41" s="14">
        <f t="shared" si="2"/>
        <v>0</v>
      </c>
      <c r="AB41" s="15"/>
      <c r="AC41" s="16"/>
      <c r="AD41" s="16"/>
      <c r="AE41" s="17"/>
      <c r="AF41" s="17">
        <f t="shared" si="0"/>
        <v>0</v>
      </c>
    </row>
    <row r="42" spans="1:32" ht="31.5">
      <c r="A42" s="20">
        <v>2650</v>
      </c>
      <c r="B42" s="21" t="s">
        <v>72</v>
      </c>
      <c r="C42" s="12"/>
      <c r="D42" s="13">
        <v>0</v>
      </c>
      <c r="E42" s="12">
        <v>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>
        <f t="shared" si="1"/>
        <v>0</v>
      </c>
      <c r="AA42" s="14">
        <f t="shared" si="2"/>
        <v>0</v>
      </c>
      <c r="AB42" s="15"/>
      <c r="AC42" s="16"/>
      <c r="AD42" s="16"/>
      <c r="AE42" s="17"/>
      <c r="AF42" s="17">
        <f t="shared" si="0"/>
        <v>0</v>
      </c>
    </row>
    <row r="43" spans="1:32" ht="15.75">
      <c r="A43" s="18">
        <v>2979</v>
      </c>
      <c r="B43" s="19" t="s">
        <v>73</v>
      </c>
      <c r="C43" s="12"/>
      <c r="D43" s="13">
        <v>0</v>
      </c>
      <c r="E43" s="12">
        <v>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>
        <f t="shared" si="1"/>
        <v>0</v>
      </c>
      <c r="AA43" s="14">
        <f t="shared" si="2"/>
        <v>0</v>
      </c>
      <c r="AB43" s="15"/>
      <c r="AC43" s="16"/>
      <c r="AD43" s="16"/>
      <c r="AE43" s="17"/>
      <c r="AF43" s="17">
        <f t="shared" si="0"/>
        <v>0</v>
      </c>
    </row>
    <row r="44" spans="1:32" ht="31.5">
      <c r="A44" s="20">
        <v>2980</v>
      </c>
      <c r="B44" s="21" t="s">
        <v>74</v>
      </c>
      <c r="C44" s="12"/>
      <c r="D44" s="13">
        <v>0</v>
      </c>
      <c r="E44" s="12">
        <v>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f t="shared" si="1"/>
        <v>0</v>
      </c>
      <c r="AA44" s="14">
        <f t="shared" si="2"/>
        <v>0</v>
      </c>
      <c r="AB44" s="15"/>
      <c r="AC44" s="16"/>
      <c r="AD44" s="16"/>
      <c r="AE44" s="17"/>
      <c r="AF44" s="17">
        <f t="shared" si="0"/>
        <v>0</v>
      </c>
    </row>
    <row r="45" spans="1:32" ht="15.75">
      <c r="A45" s="18">
        <v>2744</v>
      </c>
      <c r="B45" s="19" t="s">
        <v>75</v>
      </c>
      <c r="C45" s="12"/>
      <c r="D45" s="13">
        <v>0</v>
      </c>
      <c r="E45" s="12">
        <v>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>
        <f t="shared" si="1"/>
        <v>0</v>
      </c>
      <c r="AA45" s="14">
        <f t="shared" si="2"/>
        <v>0</v>
      </c>
      <c r="AB45" s="15"/>
      <c r="AC45" s="16"/>
      <c r="AD45" s="16"/>
      <c r="AE45" s="17"/>
      <c r="AF45" s="17">
        <f t="shared" si="0"/>
        <v>0</v>
      </c>
    </row>
    <row r="46" spans="1:32" ht="15.75">
      <c r="A46" s="20">
        <v>1980</v>
      </c>
      <c r="B46" s="21" t="s">
        <v>76</v>
      </c>
      <c r="C46" s="12"/>
      <c r="D46" s="13">
        <v>0</v>
      </c>
      <c r="E46" s="12">
        <v>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>
        <f t="shared" si="1"/>
        <v>0</v>
      </c>
      <c r="AA46" s="14">
        <f t="shared" si="2"/>
        <v>0</v>
      </c>
      <c r="AB46" s="15"/>
      <c r="AC46" s="16"/>
      <c r="AD46" s="16"/>
      <c r="AE46" s="17"/>
      <c r="AF46" s="17">
        <f t="shared" si="0"/>
        <v>0</v>
      </c>
    </row>
    <row r="47" spans="1:32" ht="15.75">
      <c r="A47" s="18">
        <v>2824</v>
      </c>
      <c r="B47" s="19" t="s">
        <v>77</v>
      </c>
      <c r="C47" s="12"/>
      <c r="D47" s="13">
        <v>0</v>
      </c>
      <c r="E47" s="12">
        <v>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>
        <f t="shared" si="1"/>
        <v>0</v>
      </c>
      <c r="AA47" s="14">
        <f t="shared" si="2"/>
        <v>0</v>
      </c>
      <c r="AB47" s="15"/>
      <c r="AC47" s="16"/>
      <c r="AD47" s="16"/>
      <c r="AE47" s="17"/>
      <c r="AF47" s="17">
        <f t="shared" si="0"/>
        <v>0</v>
      </c>
    </row>
    <row r="48" spans="1:32" ht="15.75">
      <c r="A48" s="20">
        <v>2653</v>
      </c>
      <c r="B48" s="21" t="s">
        <v>78</v>
      </c>
      <c r="C48" s="12"/>
      <c r="D48" s="13">
        <v>0</v>
      </c>
      <c r="E48" s="12">
        <v>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>
        <f t="shared" si="1"/>
        <v>0</v>
      </c>
      <c r="AA48" s="14">
        <f t="shared" si="2"/>
        <v>0</v>
      </c>
      <c r="AB48" s="15"/>
      <c r="AC48" s="16"/>
      <c r="AD48" s="16"/>
      <c r="AE48" s="17"/>
      <c r="AF48" s="17">
        <f t="shared" si="0"/>
        <v>0</v>
      </c>
    </row>
    <row r="49" spans="1:32" ht="31.5">
      <c r="A49" s="18">
        <v>1871</v>
      </c>
      <c r="B49" s="19" t="s">
        <v>79</v>
      </c>
      <c r="C49" s="12"/>
      <c r="D49" s="13">
        <v>0</v>
      </c>
      <c r="E49" s="12">
        <v>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>
        <f t="shared" si="1"/>
        <v>0</v>
      </c>
      <c r="AA49" s="14">
        <f t="shared" si="2"/>
        <v>0</v>
      </c>
      <c r="AB49" s="15"/>
      <c r="AC49" s="16"/>
      <c r="AD49" s="16"/>
      <c r="AE49" s="17"/>
      <c r="AF49" s="17">
        <f t="shared" si="0"/>
        <v>0</v>
      </c>
    </row>
    <row r="50" spans="1:32" ht="31.5">
      <c r="A50" s="20">
        <v>1872</v>
      </c>
      <c r="B50" s="21" t="s">
        <v>80</v>
      </c>
      <c r="C50" s="12"/>
      <c r="D50" s="13">
        <v>0</v>
      </c>
      <c r="E50" s="12">
        <v>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>
        <f t="shared" si="1"/>
        <v>0</v>
      </c>
      <c r="AA50" s="14">
        <f t="shared" si="2"/>
        <v>0</v>
      </c>
      <c r="AB50" s="15"/>
      <c r="AC50" s="16"/>
      <c r="AD50" s="16"/>
      <c r="AE50" s="17"/>
      <c r="AF50" s="17">
        <f t="shared" si="0"/>
        <v>0</v>
      </c>
    </row>
    <row r="51" spans="1:32" ht="15.75">
      <c r="A51" s="18">
        <v>2108</v>
      </c>
      <c r="B51" s="19" t="s">
        <v>81</v>
      </c>
      <c r="C51" s="12"/>
      <c r="D51" s="13">
        <v>0</v>
      </c>
      <c r="E51" s="12">
        <v>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>
        <f t="shared" si="1"/>
        <v>0</v>
      </c>
      <c r="AA51" s="14">
        <f t="shared" si="2"/>
        <v>0</v>
      </c>
      <c r="AB51" s="15"/>
      <c r="AC51" s="16"/>
      <c r="AD51" s="16"/>
      <c r="AE51" s="17"/>
      <c r="AF51" s="17">
        <f t="shared" si="0"/>
        <v>0</v>
      </c>
    </row>
    <row r="52" spans="1:32" ht="31.5">
      <c r="A52" s="20">
        <v>2110</v>
      </c>
      <c r="B52" s="21" t="s">
        <v>82</v>
      </c>
      <c r="C52" s="12"/>
      <c r="D52" s="13">
        <v>0</v>
      </c>
      <c r="E52" s="12">
        <v>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>
        <f t="shared" si="1"/>
        <v>0</v>
      </c>
      <c r="AA52" s="14">
        <f t="shared" si="2"/>
        <v>0</v>
      </c>
      <c r="AB52" s="15"/>
      <c r="AC52" s="16"/>
      <c r="AD52" s="16"/>
      <c r="AE52" s="17"/>
      <c r="AF52" s="17">
        <f t="shared" si="0"/>
        <v>0</v>
      </c>
    </row>
    <row r="53" spans="1:32" ht="31.5">
      <c r="A53" s="18">
        <v>2112</v>
      </c>
      <c r="B53" s="19" t="s">
        <v>83</v>
      </c>
      <c r="C53" s="12"/>
      <c r="D53" s="13">
        <v>0</v>
      </c>
      <c r="E53" s="12">
        <v>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>
        <f t="shared" si="1"/>
        <v>0</v>
      </c>
      <c r="AA53" s="14">
        <f t="shared" si="2"/>
        <v>0</v>
      </c>
      <c r="AB53" s="15"/>
      <c r="AC53" s="16"/>
      <c r="AD53" s="16"/>
      <c r="AE53" s="17"/>
      <c r="AF53" s="17">
        <f t="shared" si="0"/>
        <v>0</v>
      </c>
    </row>
    <row r="54" spans="1:32" ht="31.5">
      <c r="A54" s="20">
        <v>2114</v>
      </c>
      <c r="B54" s="21" t="s">
        <v>84</v>
      </c>
      <c r="C54" s="12"/>
      <c r="D54" s="13">
        <v>0</v>
      </c>
      <c r="E54" s="12">
        <v>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>
        <f t="shared" si="1"/>
        <v>0</v>
      </c>
      <c r="AA54" s="14">
        <f t="shared" si="2"/>
        <v>0</v>
      </c>
      <c r="AB54" s="15"/>
      <c r="AC54" s="16"/>
      <c r="AD54" s="16"/>
      <c r="AE54" s="17"/>
      <c r="AF54" s="17">
        <f t="shared" si="0"/>
        <v>0</v>
      </c>
    </row>
    <row r="55" spans="1:32" ht="15.75">
      <c r="A55" s="18">
        <v>1976</v>
      </c>
      <c r="B55" s="19" t="s">
        <v>85</v>
      </c>
      <c r="C55" s="12"/>
      <c r="D55" s="13">
        <v>0</v>
      </c>
      <c r="E55" s="12">
        <v>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>
        <f t="shared" si="1"/>
        <v>0</v>
      </c>
      <c r="AA55" s="14">
        <f t="shared" si="2"/>
        <v>0</v>
      </c>
      <c r="AB55" s="15"/>
      <c r="AC55" s="16"/>
      <c r="AD55" s="16"/>
      <c r="AE55" s="17"/>
      <c r="AF55" s="17">
        <f t="shared" si="0"/>
        <v>0</v>
      </c>
    </row>
    <row r="56" spans="1:32" ht="15.75">
      <c r="A56" s="20">
        <v>1983</v>
      </c>
      <c r="B56" s="21" t="s">
        <v>86</v>
      </c>
      <c r="C56" s="12"/>
      <c r="D56" s="13">
        <v>0</v>
      </c>
      <c r="E56" s="12">
        <v>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>
        <f t="shared" si="1"/>
        <v>0</v>
      </c>
      <c r="AA56" s="14">
        <f t="shared" si="2"/>
        <v>0</v>
      </c>
      <c r="AB56" s="15"/>
      <c r="AC56" s="16"/>
      <c r="AD56" s="16"/>
      <c r="AE56" s="17"/>
      <c r="AF56" s="17">
        <f t="shared" si="0"/>
        <v>0</v>
      </c>
    </row>
    <row r="57" spans="1:32" ht="15.75">
      <c r="A57" s="18">
        <v>1981</v>
      </c>
      <c r="B57" s="19" t="s">
        <v>87</v>
      </c>
      <c r="C57" s="12"/>
      <c r="D57" s="13">
        <v>0</v>
      </c>
      <c r="E57" s="12">
        <v>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>
        <f t="shared" si="1"/>
        <v>0</v>
      </c>
      <c r="AA57" s="14">
        <f t="shared" si="2"/>
        <v>0</v>
      </c>
      <c r="AB57" s="15"/>
      <c r="AC57" s="16"/>
      <c r="AD57" s="16"/>
      <c r="AE57" s="17"/>
      <c r="AF57" s="17">
        <f t="shared" si="0"/>
        <v>0</v>
      </c>
    </row>
    <row r="58" spans="1:32" ht="15.75">
      <c r="A58" s="20">
        <v>1982</v>
      </c>
      <c r="B58" s="21" t="s">
        <v>88</v>
      </c>
      <c r="C58" s="12"/>
      <c r="D58" s="13">
        <v>0</v>
      </c>
      <c r="E58" s="12">
        <v>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>
        <f t="shared" si="1"/>
        <v>0</v>
      </c>
      <c r="AA58" s="14">
        <f t="shared" si="2"/>
        <v>0</v>
      </c>
      <c r="AB58" s="15"/>
      <c r="AC58" s="16"/>
      <c r="AD58" s="16"/>
      <c r="AE58" s="17"/>
      <c r="AF58" s="17">
        <f t="shared" si="0"/>
        <v>0</v>
      </c>
    </row>
    <row r="59" spans="1:32" ht="15.75">
      <c r="A59" s="18">
        <v>2080</v>
      </c>
      <c r="B59" s="19" t="s">
        <v>89</v>
      </c>
      <c r="C59" s="12"/>
      <c r="D59" s="13">
        <v>0</v>
      </c>
      <c r="E59" s="12">
        <v>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>
        <f t="shared" si="1"/>
        <v>0</v>
      </c>
      <c r="AA59" s="14">
        <f t="shared" si="2"/>
        <v>0</v>
      </c>
      <c r="AB59" s="15"/>
      <c r="AC59" s="16"/>
      <c r="AD59" s="16"/>
      <c r="AE59" s="17"/>
      <c r="AF59" s="17">
        <f t="shared" si="0"/>
        <v>0</v>
      </c>
    </row>
    <row r="60" spans="1:32" ht="15.75">
      <c r="A60" s="20">
        <v>2904</v>
      </c>
      <c r="B60" s="21" t="s">
        <v>90</v>
      </c>
      <c r="C60" s="12"/>
      <c r="D60" s="13">
        <v>0</v>
      </c>
      <c r="E60" s="12">
        <v>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>
        <f t="shared" si="1"/>
        <v>0</v>
      </c>
      <c r="AA60" s="14">
        <f t="shared" si="2"/>
        <v>0</v>
      </c>
      <c r="AB60" s="15"/>
      <c r="AC60" s="16"/>
      <c r="AD60" s="16"/>
      <c r="AE60" s="17"/>
      <c r="AF60" s="17">
        <f t="shared" si="0"/>
        <v>0</v>
      </c>
    </row>
    <row r="61" spans="1:32" ht="15.75">
      <c r="A61" s="18">
        <v>2636</v>
      </c>
      <c r="B61" s="19" t="s">
        <v>91</v>
      </c>
      <c r="C61" s="12"/>
      <c r="D61" s="13">
        <v>0</v>
      </c>
      <c r="E61" s="12">
        <v>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>
        <f t="shared" si="1"/>
        <v>0</v>
      </c>
      <c r="AA61" s="14">
        <f t="shared" si="2"/>
        <v>0</v>
      </c>
      <c r="AB61" s="15"/>
      <c r="AC61" s="16"/>
      <c r="AD61" s="16"/>
      <c r="AE61" s="17"/>
      <c r="AF61" s="17">
        <f t="shared" si="0"/>
        <v>0</v>
      </c>
    </row>
    <row r="62" spans="1:32" ht="31.5">
      <c r="A62" s="20">
        <v>1979</v>
      </c>
      <c r="B62" s="21" t="s">
        <v>92</v>
      </c>
      <c r="C62" s="12"/>
      <c r="D62" s="13">
        <v>0</v>
      </c>
      <c r="E62" s="12">
        <v>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>
        <f t="shared" si="1"/>
        <v>0</v>
      </c>
      <c r="AA62" s="14">
        <f t="shared" si="2"/>
        <v>0</v>
      </c>
      <c r="AB62" s="15"/>
      <c r="AC62" s="16"/>
      <c r="AD62" s="16"/>
      <c r="AE62" s="17"/>
      <c r="AF62" s="17">
        <f t="shared" si="0"/>
        <v>0</v>
      </c>
    </row>
    <row r="63" spans="1:32" ht="15.75">
      <c r="A63" s="18">
        <v>1996</v>
      </c>
      <c r="B63" s="19" t="s">
        <v>93</v>
      </c>
      <c r="C63" s="12"/>
      <c r="D63" s="13">
        <v>0</v>
      </c>
      <c r="E63" s="12">
        <v>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>
        <f t="shared" si="1"/>
        <v>0</v>
      </c>
      <c r="AA63" s="14">
        <f t="shared" si="2"/>
        <v>0</v>
      </c>
      <c r="AB63" s="15"/>
      <c r="AC63" s="16"/>
      <c r="AD63" s="16"/>
      <c r="AE63" s="17"/>
      <c r="AF63" s="17">
        <f t="shared" si="0"/>
        <v>0</v>
      </c>
    </row>
    <row r="64" spans="1:32" ht="15.75">
      <c r="A64" s="20">
        <v>1998</v>
      </c>
      <c r="B64" s="21" t="s">
        <v>94</v>
      </c>
      <c r="C64" s="12"/>
      <c r="D64" s="13">
        <v>0</v>
      </c>
      <c r="E64" s="12">
        <v>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23"/>
      <c r="Y64" s="12"/>
      <c r="Z64" s="12">
        <f t="shared" si="1"/>
        <v>0</v>
      </c>
      <c r="AA64" s="14">
        <f t="shared" si="2"/>
        <v>0</v>
      </c>
      <c r="AB64" s="15"/>
      <c r="AC64" s="16"/>
      <c r="AD64" s="16"/>
      <c r="AE64" s="17"/>
      <c r="AF64" s="17">
        <f t="shared" si="0"/>
        <v>0</v>
      </c>
    </row>
    <row r="65" spans="1:32" ht="15.75">
      <c r="A65" s="18">
        <v>1999</v>
      </c>
      <c r="B65" s="19" t="s">
        <v>95</v>
      </c>
      <c r="C65" s="12"/>
      <c r="D65" s="13">
        <v>0</v>
      </c>
      <c r="E65" s="12">
        <v>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>
        <f t="shared" si="1"/>
        <v>0</v>
      </c>
      <c r="AA65" s="14">
        <f t="shared" si="2"/>
        <v>0</v>
      </c>
      <c r="AB65" s="15"/>
      <c r="AC65" s="16"/>
      <c r="AD65" s="16"/>
      <c r="AE65" s="17"/>
      <c r="AF65" s="17">
        <f t="shared" si="0"/>
        <v>0</v>
      </c>
    </row>
    <row r="66" spans="1:32" ht="15.75">
      <c r="A66" s="20">
        <v>2001</v>
      </c>
      <c r="B66" s="21" t="s">
        <v>96</v>
      </c>
      <c r="C66" s="12"/>
      <c r="D66" s="13">
        <v>0</v>
      </c>
      <c r="E66" s="12">
        <v>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>
        <f t="shared" si="1"/>
        <v>0</v>
      </c>
      <c r="AA66" s="14">
        <f t="shared" si="2"/>
        <v>0</v>
      </c>
      <c r="AB66" s="15"/>
      <c r="AC66" s="16"/>
      <c r="AD66" s="16"/>
      <c r="AE66" s="17"/>
      <c r="AF66" s="17">
        <f t="shared" ref="AF66:AF122" si="3">AE66*AA66</f>
        <v>0</v>
      </c>
    </row>
    <row r="67" spans="1:32" ht="15.75">
      <c r="A67" s="18">
        <v>2003</v>
      </c>
      <c r="B67" s="19" t="s">
        <v>97</v>
      </c>
      <c r="C67" s="12"/>
      <c r="D67" s="13">
        <v>0</v>
      </c>
      <c r="E67" s="12">
        <v>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>
        <f t="shared" ref="Z67:Z132" si="4">SUM(F67:Y67)</f>
        <v>0</v>
      </c>
      <c r="AA67" s="14">
        <f t="shared" ref="AA67:AA132" si="5">(D67+E67)-(F67+G67+H67+I67+J67+K67+L67+M67+N67+O67+P67+Q67+R67+S67+T67+U67+V67+W67+X67+Y67)</f>
        <v>0</v>
      </c>
      <c r="AB67" s="15"/>
      <c r="AC67" s="16"/>
      <c r="AD67" s="16"/>
      <c r="AE67" s="17"/>
      <c r="AF67" s="17">
        <f t="shared" si="3"/>
        <v>0</v>
      </c>
    </row>
    <row r="68" spans="1:32" ht="15.75">
      <c r="A68" s="20">
        <v>2004</v>
      </c>
      <c r="B68" s="21" t="s">
        <v>98</v>
      </c>
      <c r="C68" s="12"/>
      <c r="D68" s="13">
        <v>0</v>
      </c>
      <c r="E68" s="12">
        <v>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>
        <f t="shared" si="4"/>
        <v>0</v>
      </c>
      <c r="AA68" s="14">
        <f t="shared" si="5"/>
        <v>0</v>
      </c>
      <c r="AB68" s="15"/>
      <c r="AC68" s="16"/>
      <c r="AD68" s="16"/>
      <c r="AE68" s="17"/>
      <c r="AF68" s="17">
        <f t="shared" si="3"/>
        <v>0</v>
      </c>
    </row>
    <row r="69" spans="1:32" ht="15.75">
      <c r="A69" s="18">
        <v>2006</v>
      </c>
      <c r="B69" s="19" t="s">
        <v>99</v>
      </c>
      <c r="C69" s="12"/>
      <c r="D69" s="13">
        <v>0</v>
      </c>
      <c r="E69" s="12">
        <v>0</v>
      </c>
      <c r="F69" s="12"/>
      <c r="G69" s="12"/>
      <c r="H69" s="12"/>
      <c r="I69" s="2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>
        <f t="shared" si="4"/>
        <v>0</v>
      </c>
      <c r="AA69" s="14">
        <f t="shared" si="5"/>
        <v>0</v>
      </c>
      <c r="AB69" s="15"/>
      <c r="AC69" s="16"/>
      <c r="AD69" s="16"/>
      <c r="AE69" s="17"/>
      <c r="AF69" s="17">
        <f t="shared" si="3"/>
        <v>0</v>
      </c>
    </row>
    <row r="70" spans="1:32" ht="15.75">
      <c r="A70" s="20">
        <v>2005</v>
      </c>
      <c r="B70" s="21" t="s">
        <v>100</v>
      </c>
      <c r="C70" s="12"/>
      <c r="D70" s="13">
        <v>0</v>
      </c>
      <c r="E70" s="12">
        <v>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>
        <f t="shared" si="4"/>
        <v>0</v>
      </c>
      <c r="AA70" s="14">
        <f t="shared" si="5"/>
        <v>0</v>
      </c>
      <c r="AB70" s="15"/>
      <c r="AC70" s="16"/>
      <c r="AD70" s="16"/>
      <c r="AE70" s="17"/>
      <c r="AF70" s="17">
        <f t="shared" si="3"/>
        <v>0</v>
      </c>
    </row>
    <row r="71" spans="1:32" ht="15.75">
      <c r="A71" s="18">
        <v>2007</v>
      </c>
      <c r="B71" s="19" t="s">
        <v>101</v>
      </c>
      <c r="C71" s="12"/>
      <c r="D71" s="13">
        <v>0</v>
      </c>
      <c r="E71" s="12">
        <v>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>
        <f t="shared" si="4"/>
        <v>0</v>
      </c>
      <c r="AA71" s="14">
        <f t="shared" si="5"/>
        <v>0</v>
      </c>
      <c r="AB71" s="15"/>
      <c r="AC71" s="16"/>
      <c r="AD71" s="16"/>
      <c r="AE71" s="17"/>
      <c r="AF71" s="17">
        <f t="shared" si="3"/>
        <v>0</v>
      </c>
    </row>
    <row r="72" spans="1:32" ht="15.75">
      <c r="A72" s="20">
        <v>2011</v>
      </c>
      <c r="B72" s="21" t="s">
        <v>102</v>
      </c>
      <c r="C72" s="12"/>
      <c r="D72" s="13">
        <v>0</v>
      </c>
      <c r="E72" s="12">
        <v>0</v>
      </c>
      <c r="F72" s="25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>
        <f t="shared" si="4"/>
        <v>0</v>
      </c>
      <c r="AA72" s="14">
        <f t="shared" si="5"/>
        <v>0</v>
      </c>
      <c r="AB72" s="15"/>
      <c r="AC72" s="16"/>
      <c r="AD72" s="16"/>
      <c r="AE72" s="17"/>
      <c r="AF72" s="17">
        <f t="shared" si="3"/>
        <v>0</v>
      </c>
    </row>
    <row r="73" spans="1:32" ht="15.75">
      <c r="A73" s="18">
        <v>2016</v>
      </c>
      <c r="B73" s="19" t="s">
        <v>103</v>
      </c>
      <c r="C73" s="12"/>
      <c r="D73" s="13">
        <v>0</v>
      </c>
      <c r="E73" s="12">
        <v>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>
        <f t="shared" si="4"/>
        <v>0</v>
      </c>
      <c r="AA73" s="14">
        <f t="shared" si="5"/>
        <v>0</v>
      </c>
      <c r="AB73" s="15"/>
      <c r="AC73" s="16"/>
      <c r="AD73" s="16"/>
      <c r="AE73" s="17"/>
      <c r="AF73" s="17">
        <f t="shared" si="3"/>
        <v>0</v>
      </c>
    </row>
    <row r="74" spans="1:32" ht="15.75">
      <c r="A74" s="20">
        <v>2017</v>
      </c>
      <c r="B74" s="21" t="s">
        <v>104</v>
      </c>
      <c r="C74" s="12"/>
      <c r="D74" s="13">
        <v>0</v>
      </c>
      <c r="E74" s="12">
        <v>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>
        <f t="shared" si="4"/>
        <v>0</v>
      </c>
      <c r="AA74" s="14">
        <f t="shared" si="5"/>
        <v>0</v>
      </c>
      <c r="AB74" s="15"/>
      <c r="AC74" s="16"/>
      <c r="AD74" s="16"/>
      <c r="AE74" s="17"/>
      <c r="AF74" s="17">
        <f t="shared" si="3"/>
        <v>0</v>
      </c>
    </row>
    <row r="75" spans="1:32" ht="15.75">
      <c r="A75" s="18">
        <v>2861</v>
      </c>
      <c r="B75" s="19" t="s">
        <v>105</v>
      </c>
      <c r="C75" s="12"/>
      <c r="D75" s="13">
        <v>0</v>
      </c>
      <c r="E75" s="12">
        <v>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>
        <f t="shared" si="4"/>
        <v>0</v>
      </c>
      <c r="AA75" s="14">
        <f t="shared" si="5"/>
        <v>0</v>
      </c>
      <c r="AB75" s="15"/>
      <c r="AC75" s="16"/>
      <c r="AD75" s="16"/>
      <c r="AE75" s="17"/>
      <c r="AF75" s="17">
        <f t="shared" si="3"/>
        <v>0</v>
      </c>
    </row>
    <row r="76" spans="1:32" ht="15.75">
      <c r="A76" s="20">
        <v>1974</v>
      </c>
      <c r="B76" s="21" t="s">
        <v>106</v>
      </c>
      <c r="C76" s="12"/>
      <c r="D76" s="13">
        <v>0</v>
      </c>
      <c r="E76" s="12">
        <v>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>
        <f t="shared" si="4"/>
        <v>0</v>
      </c>
      <c r="AA76" s="14">
        <f t="shared" si="5"/>
        <v>0</v>
      </c>
      <c r="AB76" s="26"/>
      <c r="AC76" s="16"/>
      <c r="AD76" s="16"/>
      <c r="AE76" s="17"/>
      <c r="AF76" s="17">
        <f t="shared" si="3"/>
        <v>0</v>
      </c>
    </row>
    <row r="77" spans="1:32" ht="15.75">
      <c r="A77" s="18">
        <v>2228</v>
      </c>
      <c r="B77" s="19" t="s">
        <v>107</v>
      </c>
      <c r="C77" s="12"/>
      <c r="D77" s="13">
        <v>0</v>
      </c>
      <c r="E77" s="12">
        <v>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>
        <f t="shared" si="4"/>
        <v>0</v>
      </c>
      <c r="AA77" s="14">
        <f t="shared" si="5"/>
        <v>0</v>
      </c>
      <c r="AB77" s="15"/>
      <c r="AC77" s="16"/>
      <c r="AD77" s="16"/>
      <c r="AE77" s="17"/>
      <c r="AF77" s="17">
        <f t="shared" si="3"/>
        <v>0</v>
      </c>
    </row>
    <row r="78" spans="1:32" ht="15.75">
      <c r="A78" s="20">
        <v>2233</v>
      </c>
      <c r="B78" s="21" t="s">
        <v>108</v>
      </c>
      <c r="C78" s="12"/>
      <c r="D78" s="13">
        <v>0</v>
      </c>
      <c r="E78" s="12">
        <v>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>
        <f t="shared" si="4"/>
        <v>0</v>
      </c>
      <c r="AA78" s="14">
        <f t="shared" si="5"/>
        <v>0</v>
      </c>
      <c r="AB78" s="15"/>
      <c r="AC78" s="16"/>
      <c r="AD78" s="16"/>
      <c r="AE78" s="17"/>
      <c r="AF78" s="17">
        <f t="shared" si="3"/>
        <v>0</v>
      </c>
    </row>
    <row r="79" spans="1:32" ht="31.5">
      <c r="A79" s="18">
        <v>2581</v>
      </c>
      <c r="B79" s="19" t="s">
        <v>109</v>
      </c>
      <c r="C79" s="12"/>
      <c r="D79" s="13">
        <v>0</v>
      </c>
      <c r="E79" s="12">
        <v>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>
        <f t="shared" si="4"/>
        <v>0</v>
      </c>
      <c r="AA79" s="14">
        <f t="shared" si="5"/>
        <v>0</v>
      </c>
      <c r="AB79" s="15"/>
      <c r="AC79" s="16"/>
      <c r="AD79" s="16"/>
      <c r="AE79" s="17"/>
      <c r="AF79" s="17">
        <f t="shared" si="3"/>
        <v>0</v>
      </c>
    </row>
    <row r="80" spans="1:32" ht="31.5">
      <c r="A80" s="20">
        <v>1889</v>
      </c>
      <c r="B80" s="21" t="s">
        <v>110</v>
      </c>
      <c r="C80" s="12"/>
      <c r="D80" s="13">
        <v>0</v>
      </c>
      <c r="E80" s="12">
        <v>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>
        <f t="shared" si="4"/>
        <v>0</v>
      </c>
      <c r="AA80" s="14">
        <f t="shared" si="5"/>
        <v>0</v>
      </c>
      <c r="AB80" s="15"/>
      <c r="AC80" s="16"/>
      <c r="AD80" s="16"/>
      <c r="AE80" s="17"/>
      <c r="AF80" s="17">
        <f t="shared" si="3"/>
        <v>0</v>
      </c>
    </row>
    <row r="81" spans="1:32" ht="31.5">
      <c r="A81" s="18">
        <v>1892</v>
      </c>
      <c r="B81" s="19" t="s">
        <v>111</v>
      </c>
      <c r="C81" s="12"/>
      <c r="D81" s="13">
        <v>0</v>
      </c>
      <c r="E81" s="12">
        <v>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>
        <f t="shared" si="4"/>
        <v>0</v>
      </c>
      <c r="AA81" s="14">
        <f t="shared" si="5"/>
        <v>0</v>
      </c>
      <c r="AB81" s="15"/>
      <c r="AC81" s="16"/>
      <c r="AD81" s="16"/>
      <c r="AE81" s="17"/>
      <c r="AF81" s="17">
        <f t="shared" si="3"/>
        <v>0</v>
      </c>
    </row>
    <row r="82" spans="1:32" ht="31.5">
      <c r="A82" s="20">
        <v>1897</v>
      </c>
      <c r="B82" s="21" t="s">
        <v>112</v>
      </c>
      <c r="C82" s="12"/>
      <c r="D82" s="13">
        <v>0</v>
      </c>
      <c r="E82" s="12">
        <v>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>
        <f t="shared" si="4"/>
        <v>0</v>
      </c>
      <c r="AA82" s="14">
        <f t="shared" si="5"/>
        <v>0</v>
      </c>
      <c r="AB82" s="15"/>
      <c r="AC82" s="16"/>
      <c r="AD82" s="16"/>
      <c r="AE82" s="17"/>
      <c r="AF82" s="17">
        <f t="shared" si="3"/>
        <v>0</v>
      </c>
    </row>
    <row r="83" spans="1:32" ht="31.5">
      <c r="A83" s="18">
        <v>1895</v>
      </c>
      <c r="B83" s="19" t="s">
        <v>113</v>
      </c>
      <c r="C83" s="12"/>
      <c r="D83" s="13">
        <v>0</v>
      </c>
      <c r="E83" s="12">
        <v>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>
        <f t="shared" si="4"/>
        <v>0</v>
      </c>
      <c r="AA83" s="14">
        <f t="shared" si="5"/>
        <v>0</v>
      </c>
      <c r="AB83" s="15"/>
      <c r="AC83" s="16"/>
      <c r="AD83" s="16"/>
      <c r="AE83" s="17"/>
      <c r="AF83" s="17">
        <f t="shared" si="3"/>
        <v>0</v>
      </c>
    </row>
    <row r="84" spans="1:32" ht="31.5">
      <c r="A84" s="20">
        <v>1903</v>
      </c>
      <c r="B84" s="21" t="s">
        <v>114</v>
      </c>
      <c r="C84" s="12"/>
      <c r="D84" s="13">
        <v>0</v>
      </c>
      <c r="E84" s="12">
        <v>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>
        <f t="shared" si="4"/>
        <v>0</v>
      </c>
      <c r="AA84" s="14">
        <f t="shared" si="5"/>
        <v>0</v>
      </c>
      <c r="AB84" s="15"/>
      <c r="AC84" s="16"/>
      <c r="AD84" s="16"/>
      <c r="AE84" s="17"/>
      <c r="AF84" s="17">
        <f t="shared" si="3"/>
        <v>0</v>
      </c>
    </row>
    <row r="85" spans="1:32" ht="31.5">
      <c r="A85" s="20">
        <v>1904</v>
      </c>
      <c r="B85" s="21" t="s">
        <v>115</v>
      </c>
      <c r="C85" s="12"/>
      <c r="D85" s="13">
        <v>0</v>
      </c>
      <c r="E85" s="12">
        <v>0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>
        <f t="shared" si="4"/>
        <v>0</v>
      </c>
      <c r="AA85" s="14">
        <f t="shared" si="5"/>
        <v>0</v>
      </c>
      <c r="AB85" s="15"/>
      <c r="AC85" s="16"/>
      <c r="AD85" s="16"/>
      <c r="AE85" s="17"/>
      <c r="AF85" s="17">
        <f t="shared" si="3"/>
        <v>0</v>
      </c>
    </row>
    <row r="86" spans="1:32" ht="15.75">
      <c r="A86" s="18">
        <v>2655</v>
      </c>
      <c r="B86" s="19" t="s">
        <v>116</v>
      </c>
      <c r="C86" s="12"/>
      <c r="D86" s="13">
        <v>0</v>
      </c>
      <c r="E86" s="12">
        <v>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>
        <f t="shared" si="4"/>
        <v>0</v>
      </c>
      <c r="AA86" s="14">
        <f t="shared" si="5"/>
        <v>0</v>
      </c>
      <c r="AB86" s="15"/>
      <c r="AC86" s="16"/>
      <c r="AD86" s="16"/>
      <c r="AE86" s="17"/>
      <c r="AF86" s="17">
        <f t="shared" si="3"/>
        <v>0</v>
      </c>
    </row>
    <row r="87" spans="1:32" ht="31.5">
      <c r="A87" s="20">
        <v>2660</v>
      </c>
      <c r="B87" s="21" t="s">
        <v>117</v>
      </c>
      <c r="C87" s="12"/>
      <c r="D87" s="13">
        <v>0</v>
      </c>
      <c r="E87" s="12">
        <v>0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>
        <f t="shared" si="4"/>
        <v>0</v>
      </c>
      <c r="AA87" s="14">
        <f t="shared" si="5"/>
        <v>0</v>
      </c>
      <c r="AB87" s="15"/>
      <c r="AC87" s="16"/>
      <c r="AD87" s="16"/>
      <c r="AE87" s="17"/>
      <c r="AF87" s="17">
        <f t="shared" si="3"/>
        <v>0</v>
      </c>
    </row>
    <row r="88" spans="1:32" ht="15.75">
      <c r="A88" s="18">
        <v>2661</v>
      </c>
      <c r="B88" s="19" t="s">
        <v>118</v>
      </c>
      <c r="C88" s="12"/>
      <c r="D88" s="13">
        <v>0</v>
      </c>
      <c r="E88" s="12">
        <v>0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>
        <f t="shared" si="4"/>
        <v>0</v>
      </c>
      <c r="AA88" s="14">
        <f t="shared" si="5"/>
        <v>0</v>
      </c>
      <c r="AB88" s="15"/>
      <c r="AC88" s="16"/>
      <c r="AD88" s="16"/>
      <c r="AE88" s="17"/>
      <c r="AF88" s="17">
        <f t="shared" si="3"/>
        <v>0</v>
      </c>
    </row>
    <row r="89" spans="1:32" ht="15.75">
      <c r="A89" s="20">
        <v>2037</v>
      </c>
      <c r="B89" s="21" t="s">
        <v>119</v>
      </c>
      <c r="C89" s="12"/>
      <c r="D89" s="13">
        <v>0</v>
      </c>
      <c r="E89" s="12">
        <v>0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>
        <f t="shared" si="4"/>
        <v>0</v>
      </c>
      <c r="AA89" s="14">
        <f t="shared" si="5"/>
        <v>0</v>
      </c>
      <c r="AB89" s="22"/>
      <c r="AC89" s="16"/>
      <c r="AD89" s="16"/>
      <c r="AE89" s="17"/>
      <c r="AF89" s="17">
        <f t="shared" si="3"/>
        <v>0</v>
      </c>
    </row>
    <row r="90" spans="1:32" ht="31.5">
      <c r="A90" s="18">
        <v>1985</v>
      </c>
      <c r="B90" s="19" t="s">
        <v>120</v>
      </c>
      <c r="C90" s="12"/>
      <c r="D90" s="13">
        <v>0</v>
      </c>
      <c r="E90" s="12">
        <v>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>
        <f t="shared" si="4"/>
        <v>0</v>
      </c>
      <c r="AA90" s="14">
        <f t="shared" si="5"/>
        <v>0</v>
      </c>
      <c r="AB90" s="15"/>
      <c r="AC90" s="16"/>
      <c r="AD90" s="16"/>
      <c r="AE90" s="17"/>
      <c r="AF90" s="17">
        <f t="shared" si="3"/>
        <v>0</v>
      </c>
    </row>
    <row r="91" spans="1:32" ht="15.75">
      <c r="A91" s="20">
        <v>2029</v>
      </c>
      <c r="B91" s="21" t="s">
        <v>121</v>
      </c>
      <c r="C91" s="12"/>
      <c r="D91" s="13">
        <v>0</v>
      </c>
      <c r="E91" s="12">
        <v>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>
        <f t="shared" si="4"/>
        <v>0</v>
      </c>
      <c r="AA91" s="14">
        <f t="shared" si="5"/>
        <v>0</v>
      </c>
      <c r="AB91" s="15"/>
      <c r="AC91" s="16"/>
      <c r="AD91" s="16"/>
      <c r="AE91" s="17"/>
      <c r="AF91" s="17">
        <f t="shared" si="3"/>
        <v>0</v>
      </c>
    </row>
    <row r="92" spans="1:32" ht="15.75">
      <c r="A92" s="18">
        <v>2849</v>
      </c>
      <c r="B92" s="19" t="s">
        <v>122</v>
      </c>
      <c r="C92" s="12"/>
      <c r="D92" s="13">
        <v>0</v>
      </c>
      <c r="E92" s="12">
        <v>0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>
        <f t="shared" si="4"/>
        <v>0</v>
      </c>
      <c r="AA92" s="14">
        <f t="shared" si="5"/>
        <v>0</v>
      </c>
      <c r="AB92" s="15"/>
      <c r="AC92" s="16"/>
      <c r="AD92" s="16"/>
      <c r="AE92" s="17"/>
      <c r="AF92" s="17">
        <f t="shared" si="3"/>
        <v>0</v>
      </c>
    </row>
    <row r="93" spans="1:32" ht="15.75">
      <c r="A93" s="20">
        <v>2024</v>
      </c>
      <c r="B93" s="21" t="s">
        <v>123</v>
      </c>
      <c r="C93" s="12"/>
      <c r="D93" s="13">
        <v>0</v>
      </c>
      <c r="E93" s="12">
        <v>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>
        <f t="shared" si="4"/>
        <v>0</v>
      </c>
      <c r="AA93" s="14">
        <f t="shared" si="5"/>
        <v>0</v>
      </c>
      <c r="AB93" s="15"/>
      <c r="AC93" s="16"/>
      <c r="AD93" s="16"/>
      <c r="AE93" s="17"/>
      <c r="AF93" s="17">
        <f t="shared" si="3"/>
        <v>0</v>
      </c>
    </row>
    <row r="94" spans="1:32" ht="15.75">
      <c r="A94" s="18">
        <v>2838</v>
      </c>
      <c r="B94" s="19" t="s">
        <v>124</v>
      </c>
      <c r="C94" s="12"/>
      <c r="D94" s="13">
        <v>0</v>
      </c>
      <c r="E94" s="12">
        <v>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>
        <f t="shared" si="4"/>
        <v>0</v>
      </c>
      <c r="AA94" s="14">
        <f t="shared" si="5"/>
        <v>0</v>
      </c>
      <c r="AB94" s="15"/>
      <c r="AC94" s="16"/>
      <c r="AD94" s="16"/>
      <c r="AE94" s="17"/>
      <c r="AF94" s="17">
        <f t="shared" si="3"/>
        <v>0</v>
      </c>
    </row>
    <row r="95" spans="1:32" ht="15.75">
      <c r="A95" s="20">
        <v>3057</v>
      </c>
      <c r="B95" s="21" t="s">
        <v>125</v>
      </c>
      <c r="C95" s="12"/>
      <c r="D95" s="13">
        <v>0</v>
      </c>
      <c r="E95" s="12">
        <v>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>
        <f t="shared" si="4"/>
        <v>0</v>
      </c>
      <c r="AA95" s="14">
        <f t="shared" si="5"/>
        <v>0</v>
      </c>
      <c r="AB95" s="15"/>
      <c r="AC95" s="16"/>
      <c r="AD95" s="16"/>
      <c r="AE95" s="17"/>
      <c r="AF95" s="17">
        <f t="shared" si="3"/>
        <v>0</v>
      </c>
    </row>
    <row r="96" spans="1:32" ht="31.5">
      <c r="A96" s="18">
        <v>2848</v>
      </c>
      <c r="B96" s="19" t="s">
        <v>126</v>
      </c>
      <c r="C96" s="12"/>
      <c r="D96" s="13">
        <v>0</v>
      </c>
      <c r="E96" s="12">
        <v>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>
        <f t="shared" si="4"/>
        <v>0</v>
      </c>
      <c r="AA96" s="14">
        <f t="shared" si="5"/>
        <v>0</v>
      </c>
      <c r="AB96" s="15"/>
      <c r="AC96" s="16"/>
      <c r="AD96" s="16"/>
      <c r="AE96" s="17"/>
      <c r="AF96" s="17">
        <f t="shared" si="3"/>
        <v>0</v>
      </c>
    </row>
    <row r="97" spans="1:32" ht="15.75">
      <c r="A97" s="20">
        <v>2948</v>
      </c>
      <c r="B97" s="21" t="s">
        <v>127</v>
      </c>
      <c r="C97" s="12"/>
      <c r="D97" s="13">
        <v>0</v>
      </c>
      <c r="E97" s="12">
        <v>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>
        <f t="shared" si="4"/>
        <v>0</v>
      </c>
      <c r="AA97" s="14">
        <f t="shared" si="5"/>
        <v>0</v>
      </c>
      <c r="AB97" s="15"/>
      <c r="AC97" s="16"/>
      <c r="AD97" s="16"/>
      <c r="AE97" s="17"/>
      <c r="AF97" s="17">
        <f t="shared" si="3"/>
        <v>0</v>
      </c>
    </row>
    <row r="98" spans="1:32" ht="15.75">
      <c r="A98" s="18">
        <v>2969</v>
      </c>
      <c r="B98" s="19" t="s">
        <v>128</v>
      </c>
      <c r="C98" s="12"/>
      <c r="D98" s="13">
        <v>0</v>
      </c>
      <c r="E98" s="12">
        <v>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>
        <f t="shared" si="4"/>
        <v>0</v>
      </c>
      <c r="AA98" s="14">
        <f t="shared" si="5"/>
        <v>0</v>
      </c>
      <c r="AB98" s="15"/>
      <c r="AC98" s="16"/>
      <c r="AD98" s="16"/>
      <c r="AE98" s="17"/>
      <c r="AF98" s="17">
        <f t="shared" si="3"/>
        <v>0</v>
      </c>
    </row>
    <row r="99" spans="1:32" ht="15.75">
      <c r="A99" s="20">
        <v>2664</v>
      </c>
      <c r="B99" s="21" t="s">
        <v>129</v>
      </c>
      <c r="C99" s="12"/>
      <c r="D99" s="13">
        <v>0</v>
      </c>
      <c r="E99" s="12">
        <v>0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f t="shared" si="4"/>
        <v>0</v>
      </c>
      <c r="AA99" s="14">
        <f t="shared" si="5"/>
        <v>0</v>
      </c>
      <c r="AB99" s="15"/>
      <c r="AC99" s="16"/>
      <c r="AD99" s="16"/>
      <c r="AE99" s="17"/>
      <c r="AF99" s="17">
        <f t="shared" si="3"/>
        <v>0</v>
      </c>
    </row>
    <row r="100" spans="1:32" ht="15.75">
      <c r="A100" s="18">
        <v>2047</v>
      </c>
      <c r="B100" s="19" t="s">
        <v>130</v>
      </c>
      <c r="C100" s="12"/>
      <c r="D100" s="13">
        <v>0</v>
      </c>
      <c r="E100" s="12">
        <v>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>
        <f t="shared" si="4"/>
        <v>0</v>
      </c>
      <c r="AA100" s="14">
        <f t="shared" si="5"/>
        <v>0</v>
      </c>
      <c r="AB100" s="15"/>
      <c r="AC100" s="16"/>
      <c r="AD100" s="16"/>
      <c r="AE100" s="17"/>
      <c r="AF100" s="17">
        <f t="shared" si="3"/>
        <v>0</v>
      </c>
    </row>
    <row r="101" spans="1:32" ht="15.75">
      <c r="A101" s="20">
        <v>2048</v>
      </c>
      <c r="B101" s="21" t="s">
        <v>131</v>
      </c>
      <c r="C101" s="12"/>
      <c r="D101" s="13">
        <v>0</v>
      </c>
      <c r="E101" s="12">
        <v>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>
        <f t="shared" si="4"/>
        <v>0</v>
      </c>
      <c r="AA101" s="14">
        <f t="shared" si="5"/>
        <v>0</v>
      </c>
      <c r="AB101" s="15"/>
      <c r="AC101" s="16"/>
      <c r="AD101" s="16"/>
      <c r="AE101" s="17"/>
      <c r="AF101" s="17">
        <f t="shared" si="3"/>
        <v>0</v>
      </c>
    </row>
    <row r="102" spans="1:32" ht="15.75">
      <c r="A102" s="18">
        <v>2049</v>
      </c>
      <c r="B102" s="19" t="s">
        <v>132</v>
      </c>
      <c r="C102" s="12"/>
      <c r="D102" s="13">
        <v>0</v>
      </c>
      <c r="E102" s="12">
        <v>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>
        <f t="shared" si="4"/>
        <v>0</v>
      </c>
      <c r="AA102" s="14">
        <f t="shared" si="5"/>
        <v>0</v>
      </c>
      <c r="AB102" s="15"/>
      <c r="AC102" s="16"/>
      <c r="AD102" s="16"/>
      <c r="AE102" s="17"/>
      <c r="AF102" s="17">
        <f t="shared" si="3"/>
        <v>0</v>
      </c>
    </row>
    <row r="103" spans="1:32" ht="15.75">
      <c r="A103" s="20">
        <v>2051</v>
      </c>
      <c r="B103" s="21" t="s">
        <v>133</v>
      </c>
      <c r="C103" s="12"/>
      <c r="D103" s="13">
        <v>0</v>
      </c>
      <c r="E103" s="12">
        <v>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>
        <f t="shared" si="4"/>
        <v>0</v>
      </c>
      <c r="AA103" s="14">
        <f t="shared" si="5"/>
        <v>0</v>
      </c>
      <c r="AB103" s="15"/>
      <c r="AC103" s="16"/>
      <c r="AD103" s="16"/>
      <c r="AE103" s="17"/>
      <c r="AF103" s="17">
        <f t="shared" si="3"/>
        <v>0</v>
      </c>
    </row>
    <row r="104" spans="1:32" ht="15.75">
      <c r="A104" s="18">
        <v>2052</v>
      </c>
      <c r="B104" s="19" t="s">
        <v>134</v>
      </c>
      <c r="C104" s="12"/>
      <c r="D104" s="13">
        <v>0</v>
      </c>
      <c r="E104" s="12">
        <v>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>
        <f t="shared" si="4"/>
        <v>0</v>
      </c>
      <c r="AA104" s="14">
        <f t="shared" si="5"/>
        <v>0</v>
      </c>
      <c r="AB104" s="15"/>
      <c r="AC104" s="16"/>
      <c r="AD104" s="16"/>
      <c r="AE104" s="17"/>
      <c r="AF104" s="17">
        <f t="shared" si="3"/>
        <v>0</v>
      </c>
    </row>
    <row r="105" spans="1:32" ht="15.75">
      <c r="A105" s="20">
        <v>2053</v>
      </c>
      <c r="B105" s="21" t="s">
        <v>135</v>
      </c>
      <c r="C105" s="12"/>
      <c r="D105" s="13">
        <v>0</v>
      </c>
      <c r="E105" s="12">
        <v>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>
        <f t="shared" si="4"/>
        <v>0</v>
      </c>
      <c r="AA105" s="14">
        <f t="shared" si="5"/>
        <v>0</v>
      </c>
      <c r="AB105" s="15"/>
      <c r="AC105" s="16"/>
      <c r="AD105" s="16"/>
      <c r="AE105" s="17"/>
      <c r="AF105" s="17">
        <f t="shared" si="3"/>
        <v>0</v>
      </c>
    </row>
    <row r="106" spans="1:32" ht="47.25">
      <c r="A106" s="18">
        <v>1942</v>
      </c>
      <c r="B106" s="19" t="s">
        <v>136</v>
      </c>
      <c r="C106" s="12"/>
      <c r="D106" s="13">
        <v>0</v>
      </c>
      <c r="E106" s="12">
        <v>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>
        <f t="shared" si="4"/>
        <v>0</v>
      </c>
      <c r="AA106" s="14">
        <f t="shared" si="5"/>
        <v>0</v>
      </c>
      <c r="AB106" s="15"/>
      <c r="AC106" s="16"/>
      <c r="AD106" s="16"/>
      <c r="AE106" s="17"/>
      <c r="AF106" s="17">
        <f t="shared" si="3"/>
        <v>0</v>
      </c>
    </row>
    <row r="107" spans="1:32" ht="31.5">
      <c r="A107" s="20">
        <v>1944</v>
      </c>
      <c r="B107" s="21" t="s">
        <v>137</v>
      </c>
      <c r="C107" s="12"/>
      <c r="D107" s="13">
        <v>0</v>
      </c>
      <c r="E107" s="12">
        <v>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>
        <f t="shared" si="4"/>
        <v>0</v>
      </c>
      <c r="AA107" s="14">
        <f t="shared" si="5"/>
        <v>0</v>
      </c>
      <c r="AB107" s="15"/>
      <c r="AC107" s="16"/>
      <c r="AD107" s="16"/>
      <c r="AE107" s="17"/>
      <c r="AF107" s="17">
        <f t="shared" si="3"/>
        <v>0</v>
      </c>
    </row>
    <row r="108" spans="1:32" ht="15.75">
      <c r="A108" s="18">
        <v>2665</v>
      </c>
      <c r="B108" s="19" t="s">
        <v>138</v>
      </c>
      <c r="C108" s="12"/>
      <c r="D108" s="13">
        <v>0</v>
      </c>
      <c r="E108" s="12">
        <v>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>
        <f t="shared" si="4"/>
        <v>0</v>
      </c>
      <c r="AA108" s="14">
        <f t="shared" si="5"/>
        <v>0</v>
      </c>
      <c r="AB108" s="15"/>
      <c r="AC108" s="16"/>
      <c r="AD108" s="16"/>
      <c r="AE108" s="17"/>
      <c r="AF108" s="17">
        <f t="shared" si="3"/>
        <v>0</v>
      </c>
    </row>
    <row r="109" spans="1:32" ht="15.75">
      <c r="A109" s="20">
        <v>2666</v>
      </c>
      <c r="B109" s="21" t="s">
        <v>139</v>
      </c>
      <c r="C109" s="12"/>
      <c r="D109" s="13">
        <v>0</v>
      </c>
      <c r="E109" s="12">
        <v>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>
        <f t="shared" si="4"/>
        <v>0</v>
      </c>
      <c r="AA109" s="14">
        <f t="shared" si="5"/>
        <v>0</v>
      </c>
      <c r="AB109" s="15"/>
      <c r="AC109" s="16"/>
      <c r="AD109" s="16"/>
      <c r="AE109" s="17"/>
      <c r="AF109" s="17">
        <f t="shared" si="3"/>
        <v>0</v>
      </c>
    </row>
    <row r="110" spans="1:32" ht="15.75">
      <c r="A110" s="18">
        <v>2889</v>
      </c>
      <c r="B110" s="19" t="s">
        <v>140</v>
      </c>
      <c r="C110" s="12"/>
      <c r="D110" s="13">
        <v>0</v>
      </c>
      <c r="E110" s="12">
        <v>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>
        <f t="shared" si="4"/>
        <v>0</v>
      </c>
      <c r="AA110" s="14">
        <f t="shared" si="5"/>
        <v>0</v>
      </c>
      <c r="AB110" s="15"/>
      <c r="AC110" s="16"/>
      <c r="AD110" s="16"/>
      <c r="AE110" s="17"/>
      <c r="AF110" s="17">
        <f t="shared" si="3"/>
        <v>0</v>
      </c>
    </row>
    <row r="111" spans="1:32" ht="15.75">
      <c r="A111" s="20">
        <v>2891</v>
      </c>
      <c r="B111" s="21" t="s">
        <v>141</v>
      </c>
      <c r="C111" s="12"/>
      <c r="D111" s="13">
        <v>0</v>
      </c>
      <c r="E111" s="12">
        <v>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>
        <f t="shared" si="4"/>
        <v>0</v>
      </c>
      <c r="AA111" s="14">
        <f t="shared" si="5"/>
        <v>0</v>
      </c>
      <c r="AB111" s="15"/>
      <c r="AC111" s="16"/>
      <c r="AD111" s="16"/>
      <c r="AE111" s="17"/>
      <c r="AF111" s="17">
        <f t="shared" si="3"/>
        <v>0</v>
      </c>
    </row>
    <row r="112" spans="1:32" ht="15.75">
      <c r="A112" s="18">
        <v>2944</v>
      </c>
      <c r="B112" s="19" t="s">
        <v>142</v>
      </c>
      <c r="C112" s="12"/>
      <c r="D112" s="13">
        <v>0</v>
      </c>
      <c r="E112" s="12">
        <v>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>
        <f t="shared" si="4"/>
        <v>0</v>
      </c>
      <c r="AA112" s="14">
        <f t="shared" si="5"/>
        <v>0</v>
      </c>
      <c r="AB112" s="15"/>
      <c r="AC112" s="16"/>
      <c r="AD112" s="16"/>
      <c r="AE112" s="17"/>
      <c r="AF112" s="17">
        <f t="shared" si="3"/>
        <v>0</v>
      </c>
    </row>
    <row r="113" spans="1:32" ht="15.75">
      <c r="A113" s="18">
        <v>2967</v>
      </c>
      <c r="B113" s="19" t="s">
        <v>143</v>
      </c>
      <c r="C113" s="12"/>
      <c r="D113" s="13">
        <v>0</v>
      </c>
      <c r="E113" s="12">
        <v>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>
        <f t="shared" si="4"/>
        <v>0</v>
      </c>
      <c r="AA113" s="14">
        <f t="shared" si="5"/>
        <v>0</v>
      </c>
      <c r="AB113" s="27"/>
      <c r="AC113" s="16"/>
      <c r="AD113" s="16"/>
      <c r="AE113" s="17"/>
      <c r="AF113" s="17">
        <f t="shared" si="3"/>
        <v>0</v>
      </c>
    </row>
    <row r="114" spans="1:32" ht="15.75">
      <c r="A114" s="20">
        <v>2669</v>
      </c>
      <c r="B114" s="21" t="s">
        <v>144</v>
      </c>
      <c r="C114" s="12"/>
      <c r="D114" s="13">
        <v>0</v>
      </c>
      <c r="E114" s="12">
        <v>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>
        <f t="shared" si="4"/>
        <v>0</v>
      </c>
      <c r="AA114" s="14">
        <f t="shared" si="5"/>
        <v>0</v>
      </c>
      <c r="AB114" s="27"/>
      <c r="AC114" s="16"/>
      <c r="AD114" s="16"/>
      <c r="AE114" s="17"/>
      <c r="AF114" s="17">
        <f t="shared" si="3"/>
        <v>0</v>
      </c>
    </row>
    <row r="115" spans="1:32" ht="15.75">
      <c r="A115" s="18">
        <v>2965</v>
      </c>
      <c r="B115" s="19" t="s">
        <v>145</v>
      </c>
      <c r="C115" s="12"/>
      <c r="D115" s="13">
        <v>0</v>
      </c>
      <c r="E115" s="12">
        <v>0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>
        <f t="shared" si="4"/>
        <v>0</v>
      </c>
      <c r="AA115" s="14">
        <f t="shared" si="5"/>
        <v>0</v>
      </c>
      <c r="AB115" s="27"/>
      <c r="AC115" s="16"/>
      <c r="AD115" s="16"/>
      <c r="AE115" s="17"/>
      <c r="AF115" s="17">
        <f t="shared" si="3"/>
        <v>0</v>
      </c>
    </row>
    <row r="116" spans="1:32" ht="15.75">
      <c r="A116" s="20">
        <v>2670</v>
      </c>
      <c r="B116" s="21" t="s">
        <v>146</v>
      </c>
      <c r="C116" s="12"/>
      <c r="D116" s="13">
        <v>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>
        <f t="shared" si="4"/>
        <v>0</v>
      </c>
      <c r="AA116" s="14">
        <f t="shared" si="5"/>
        <v>0</v>
      </c>
      <c r="AB116" s="27"/>
      <c r="AC116" s="16"/>
      <c r="AD116" s="16"/>
      <c r="AE116" s="17"/>
      <c r="AF116" s="17">
        <f t="shared" si="3"/>
        <v>0</v>
      </c>
    </row>
    <row r="117" spans="1:32" ht="15.75">
      <c r="A117" s="18">
        <v>2739</v>
      </c>
      <c r="B117" s="19" t="s">
        <v>147</v>
      </c>
      <c r="C117" s="12"/>
      <c r="D117" s="13">
        <v>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>
        <f t="shared" si="4"/>
        <v>0</v>
      </c>
      <c r="AA117" s="14">
        <f t="shared" si="5"/>
        <v>0</v>
      </c>
      <c r="AB117" s="27"/>
      <c r="AC117" s="16"/>
      <c r="AD117" s="16"/>
      <c r="AE117" s="17"/>
      <c r="AF117" s="17">
        <f t="shared" si="3"/>
        <v>0</v>
      </c>
    </row>
    <row r="118" spans="1:32" ht="15.75">
      <c r="A118" s="20">
        <v>2897</v>
      </c>
      <c r="B118" s="21" t="s">
        <v>148</v>
      </c>
      <c r="C118" s="12"/>
      <c r="D118" s="13">
        <v>0</v>
      </c>
      <c r="E118" s="12">
        <v>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>
        <f t="shared" si="4"/>
        <v>0</v>
      </c>
      <c r="AA118" s="14">
        <f t="shared" si="5"/>
        <v>0</v>
      </c>
      <c r="AB118" s="27"/>
      <c r="AC118" s="16"/>
      <c r="AD118" s="16"/>
      <c r="AE118" s="17"/>
      <c r="AF118" s="17">
        <f t="shared" si="3"/>
        <v>0</v>
      </c>
    </row>
    <row r="119" spans="1:32" ht="31.5">
      <c r="A119" s="20">
        <v>3089</v>
      </c>
      <c r="B119" s="21" t="s">
        <v>149</v>
      </c>
      <c r="C119" s="12"/>
      <c r="D119" s="13">
        <v>0</v>
      </c>
      <c r="E119" s="12">
        <v>0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>
        <f t="shared" si="4"/>
        <v>0</v>
      </c>
      <c r="AA119" s="14">
        <f t="shared" si="5"/>
        <v>0</v>
      </c>
      <c r="AB119" s="27"/>
      <c r="AC119" s="16"/>
      <c r="AD119" s="16"/>
      <c r="AE119" s="17"/>
      <c r="AF119" s="17">
        <f t="shared" si="3"/>
        <v>0</v>
      </c>
    </row>
    <row r="120" spans="1:32" ht="31.5">
      <c r="A120" s="18">
        <v>3033</v>
      </c>
      <c r="B120" s="19" t="s">
        <v>150</v>
      </c>
      <c r="C120" s="12"/>
      <c r="D120" s="13">
        <v>0</v>
      </c>
      <c r="E120" s="12">
        <v>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>
        <f t="shared" si="4"/>
        <v>0</v>
      </c>
      <c r="AA120" s="14">
        <f t="shared" si="5"/>
        <v>0</v>
      </c>
      <c r="AB120" s="27"/>
      <c r="AC120" s="16"/>
      <c r="AD120" s="16"/>
      <c r="AE120" s="17"/>
      <c r="AF120" s="17">
        <f t="shared" si="3"/>
        <v>0</v>
      </c>
    </row>
    <row r="121" spans="1:32" ht="31.5">
      <c r="A121" s="20">
        <v>3054</v>
      </c>
      <c r="B121" s="21" t="s">
        <v>151</v>
      </c>
      <c r="C121" s="12"/>
      <c r="D121" s="13">
        <v>0</v>
      </c>
      <c r="E121" s="12">
        <v>0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>
        <f t="shared" si="4"/>
        <v>0</v>
      </c>
      <c r="AA121" s="14">
        <f t="shared" si="5"/>
        <v>0</v>
      </c>
      <c r="AB121" s="27"/>
      <c r="AC121" s="16"/>
      <c r="AD121" s="16"/>
      <c r="AE121" s="17"/>
      <c r="AF121" s="17">
        <f t="shared" si="3"/>
        <v>0</v>
      </c>
    </row>
    <row r="122" spans="1:32" ht="15.75">
      <c r="A122" s="18">
        <v>2740</v>
      </c>
      <c r="B122" s="19" t="s">
        <v>152</v>
      </c>
      <c r="C122" s="12"/>
      <c r="D122" s="13">
        <v>0</v>
      </c>
      <c r="E122" s="12">
        <v>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>
        <f t="shared" si="4"/>
        <v>0</v>
      </c>
      <c r="AA122" s="14">
        <f t="shared" si="5"/>
        <v>0</v>
      </c>
      <c r="AB122" s="27"/>
      <c r="AC122" s="16"/>
      <c r="AD122" s="16"/>
      <c r="AE122" s="17"/>
      <c r="AF122" s="17">
        <f t="shared" si="3"/>
        <v>0</v>
      </c>
    </row>
    <row r="123" spans="1:32" ht="15.75">
      <c r="A123" s="20">
        <v>2672</v>
      </c>
      <c r="B123" s="21" t="s">
        <v>153</v>
      </c>
      <c r="C123" s="12"/>
      <c r="D123" s="13">
        <v>0</v>
      </c>
      <c r="E123" s="12">
        <v>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>
        <f t="shared" si="4"/>
        <v>0</v>
      </c>
      <c r="AA123" s="14">
        <f t="shared" si="5"/>
        <v>0</v>
      </c>
      <c r="AB123" s="27"/>
      <c r="AC123" s="16"/>
      <c r="AD123" s="16"/>
      <c r="AE123" s="17"/>
      <c r="AF123" s="17">
        <v>0</v>
      </c>
    </row>
    <row r="124" spans="1:32" ht="15.75">
      <c r="A124" s="18">
        <v>2673</v>
      </c>
      <c r="B124" s="19" t="s">
        <v>154</v>
      </c>
      <c r="C124" s="12"/>
      <c r="D124" s="13">
        <v>0</v>
      </c>
      <c r="E124" s="12">
        <v>0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>
        <f t="shared" si="4"/>
        <v>0</v>
      </c>
      <c r="AA124" s="14">
        <f t="shared" si="5"/>
        <v>0</v>
      </c>
      <c r="AB124" s="27"/>
      <c r="AC124" s="16"/>
      <c r="AD124" s="16"/>
      <c r="AE124" s="17"/>
      <c r="AF124" s="17">
        <f t="shared" ref="AF124:AF187" si="6">AE124*AA124</f>
        <v>0</v>
      </c>
    </row>
    <row r="125" spans="1:32" ht="15.75">
      <c r="A125" s="20">
        <v>2674</v>
      </c>
      <c r="B125" s="21" t="s">
        <v>155</v>
      </c>
      <c r="C125" s="12"/>
      <c r="D125" s="13">
        <v>0</v>
      </c>
      <c r="E125" s="12">
        <v>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>
        <f t="shared" si="4"/>
        <v>0</v>
      </c>
      <c r="AA125" s="14">
        <f t="shared" si="5"/>
        <v>0</v>
      </c>
      <c r="AB125" s="27"/>
      <c r="AC125" s="16"/>
      <c r="AD125" s="16"/>
      <c r="AE125" s="17"/>
      <c r="AF125" s="17">
        <f t="shared" si="6"/>
        <v>0</v>
      </c>
    </row>
    <row r="126" spans="1:32" ht="15.75">
      <c r="A126" s="18">
        <v>2675</v>
      </c>
      <c r="B126" s="19" t="s">
        <v>156</v>
      </c>
      <c r="C126" s="12"/>
      <c r="D126" s="13">
        <v>0</v>
      </c>
      <c r="E126" s="12">
        <v>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>
        <f t="shared" si="4"/>
        <v>0</v>
      </c>
      <c r="AA126" s="14">
        <f t="shared" si="5"/>
        <v>0</v>
      </c>
      <c r="AB126" s="27"/>
      <c r="AC126" s="16"/>
      <c r="AD126" s="16"/>
      <c r="AE126" s="17"/>
      <c r="AF126" s="17">
        <f t="shared" si="6"/>
        <v>0</v>
      </c>
    </row>
    <row r="127" spans="1:32" ht="15.75">
      <c r="A127" s="20">
        <v>2676</v>
      </c>
      <c r="B127" s="21" t="s">
        <v>157</v>
      </c>
      <c r="C127" s="12"/>
      <c r="D127" s="13">
        <v>0</v>
      </c>
      <c r="E127" s="12">
        <v>0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>
        <f t="shared" si="4"/>
        <v>0</v>
      </c>
      <c r="AA127" s="14">
        <f t="shared" si="5"/>
        <v>0</v>
      </c>
      <c r="AB127" s="27"/>
      <c r="AC127" s="16"/>
      <c r="AD127" s="16"/>
      <c r="AE127" s="17"/>
      <c r="AF127" s="17">
        <f t="shared" si="6"/>
        <v>0</v>
      </c>
    </row>
    <row r="128" spans="1:32" ht="15.75">
      <c r="A128" s="18">
        <v>2964</v>
      </c>
      <c r="B128" s="19" t="s">
        <v>158</v>
      </c>
      <c r="C128" s="12"/>
      <c r="D128" s="13">
        <v>0</v>
      </c>
      <c r="E128" s="12">
        <v>0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>
        <f t="shared" si="4"/>
        <v>0</v>
      </c>
      <c r="AA128" s="14">
        <f t="shared" si="5"/>
        <v>0</v>
      </c>
      <c r="AB128" s="27"/>
      <c r="AC128" s="16"/>
      <c r="AD128" s="16"/>
      <c r="AE128" s="17"/>
      <c r="AF128" s="17">
        <f t="shared" si="6"/>
        <v>0</v>
      </c>
    </row>
    <row r="129" spans="1:32" ht="31.5">
      <c r="A129" s="20">
        <v>1956</v>
      </c>
      <c r="B129" s="21" t="s">
        <v>159</v>
      </c>
      <c r="C129" s="12"/>
      <c r="D129" s="13">
        <v>0</v>
      </c>
      <c r="E129" s="12">
        <v>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>
        <f t="shared" si="4"/>
        <v>0</v>
      </c>
      <c r="AA129" s="14">
        <f t="shared" si="5"/>
        <v>0</v>
      </c>
      <c r="AB129" s="27"/>
      <c r="AC129" s="16"/>
      <c r="AD129" s="16"/>
      <c r="AE129" s="17"/>
      <c r="AF129" s="17">
        <f t="shared" si="6"/>
        <v>0</v>
      </c>
    </row>
    <row r="130" spans="1:32" ht="31.5">
      <c r="A130" s="18">
        <v>1957</v>
      </c>
      <c r="B130" s="19" t="s">
        <v>160</v>
      </c>
      <c r="C130" s="12"/>
      <c r="D130" s="13">
        <v>0</v>
      </c>
      <c r="E130" s="12">
        <v>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>
        <f t="shared" si="4"/>
        <v>0</v>
      </c>
      <c r="AA130" s="14">
        <f t="shared" si="5"/>
        <v>0</v>
      </c>
      <c r="AB130" s="27"/>
      <c r="AC130" s="16"/>
      <c r="AD130" s="16"/>
      <c r="AE130" s="17"/>
      <c r="AF130" s="17">
        <f t="shared" si="6"/>
        <v>0</v>
      </c>
    </row>
    <row r="131" spans="1:32" ht="15.75">
      <c r="A131" s="20">
        <v>2677</v>
      </c>
      <c r="B131" s="21" t="s">
        <v>161</v>
      </c>
      <c r="C131" s="12"/>
      <c r="D131" s="13">
        <v>0</v>
      </c>
      <c r="E131" s="12">
        <v>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>
        <f t="shared" si="4"/>
        <v>0</v>
      </c>
      <c r="AA131" s="14">
        <f t="shared" si="5"/>
        <v>0</v>
      </c>
      <c r="AB131" s="27"/>
      <c r="AC131" s="16"/>
      <c r="AD131" s="16"/>
      <c r="AE131" s="17"/>
      <c r="AF131" s="17">
        <f t="shared" si="6"/>
        <v>0</v>
      </c>
    </row>
    <row r="132" spans="1:32" ht="15.75">
      <c r="A132" s="18">
        <v>2678</v>
      </c>
      <c r="B132" s="19" t="s">
        <v>162</v>
      </c>
      <c r="C132" s="12"/>
      <c r="D132" s="13">
        <v>0</v>
      </c>
      <c r="E132" s="12">
        <v>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>
        <f t="shared" si="4"/>
        <v>0</v>
      </c>
      <c r="AA132" s="14">
        <f t="shared" si="5"/>
        <v>0</v>
      </c>
      <c r="AB132" s="27"/>
      <c r="AC132" s="16"/>
      <c r="AD132" s="16"/>
      <c r="AE132" s="17"/>
      <c r="AF132" s="17">
        <f t="shared" si="6"/>
        <v>0</v>
      </c>
    </row>
    <row r="133" spans="1:32" ht="15.75">
      <c r="A133" s="20">
        <v>2679</v>
      </c>
      <c r="B133" s="21" t="s">
        <v>163</v>
      </c>
      <c r="C133" s="12"/>
      <c r="D133" s="13">
        <v>0</v>
      </c>
      <c r="E133" s="12">
        <v>0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>
        <f t="shared" ref="Z133:Z197" si="7">SUM(F133:Y133)</f>
        <v>0</v>
      </c>
      <c r="AA133" s="14">
        <f t="shared" ref="AA133:AA198" si="8">(D133+E133)-(F133+G133+H133+I133+J133+K133+L133+M133+N133+O133+P133+Q133+R133+S133+T133+U133+V133+W133+X133+Y133)</f>
        <v>0</v>
      </c>
      <c r="AB133" s="27"/>
      <c r="AC133" s="16"/>
      <c r="AD133" s="16"/>
      <c r="AE133" s="17"/>
      <c r="AF133" s="17">
        <f t="shared" si="6"/>
        <v>0</v>
      </c>
    </row>
    <row r="134" spans="1:32" ht="31.5">
      <c r="A134" s="18">
        <v>2991</v>
      </c>
      <c r="B134" s="19" t="s">
        <v>164</v>
      </c>
      <c r="C134" s="12"/>
      <c r="D134" s="13">
        <v>0</v>
      </c>
      <c r="E134" s="12">
        <v>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>
        <f t="shared" si="7"/>
        <v>0</v>
      </c>
      <c r="AA134" s="14">
        <f t="shared" si="8"/>
        <v>0</v>
      </c>
      <c r="AB134" s="27"/>
      <c r="AC134" s="16"/>
      <c r="AD134" s="16"/>
      <c r="AE134" s="17"/>
      <c r="AF134" s="17">
        <f t="shared" si="6"/>
        <v>0</v>
      </c>
    </row>
    <row r="135" spans="1:32" ht="15.75">
      <c r="A135" s="20">
        <v>2680</v>
      </c>
      <c r="B135" s="21" t="s">
        <v>165</v>
      </c>
      <c r="C135" s="12"/>
      <c r="D135" s="13">
        <v>0</v>
      </c>
      <c r="E135" s="12">
        <v>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>
        <f t="shared" si="7"/>
        <v>0</v>
      </c>
      <c r="AA135" s="14">
        <f t="shared" si="8"/>
        <v>0</v>
      </c>
      <c r="AB135" s="27"/>
      <c r="AC135" s="16"/>
      <c r="AD135" s="16"/>
      <c r="AE135" s="17"/>
      <c r="AF135" s="17">
        <f t="shared" si="6"/>
        <v>0</v>
      </c>
    </row>
    <row r="136" spans="1:32" ht="15.75">
      <c r="A136" s="18">
        <v>2681</v>
      </c>
      <c r="B136" s="19" t="s">
        <v>166</v>
      </c>
      <c r="C136" s="12"/>
      <c r="D136" s="13">
        <v>0</v>
      </c>
      <c r="E136" s="12">
        <v>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>
        <f t="shared" si="7"/>
        <v>0</v>
      </c>
      <c r="AA136" s="14">
        <f t="shared" si="8"/>
        <v>0</v>
      </c>
      <c r="AB136" s="27"/>
      <c r="AC136" s="16"/>
      <c r="AD136" s="16"/>
      <c r="AE136" s="17"/>
      <c r="AF136" s="17">
        <f t="shared" si="6"/>
        <v>0</v>
      </c>
    </row>
    <row r="137" spans="1:32" ht="15.75">
      <c r="A137" s="20">
        <v>2682</v>
      </c>
      <c r="B137" s="21" t="s">
        <v>167</v>
      </c>
      <c r="C137" s="12"/>
      <c r="D137" s="13">
        <v>0</v>
      </c>
      <c r="E137" s="12">
        <v>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>
        <f t="shared" si="7"/>
        <v>0</v>
      </c>
      <c r="AA137" s="14">
        <f t="shared" si="8"/>
        <v>0</v>
      </c>
      <c r="AB137" s="27"/>
      <c r="AC137" s="16"/>
      <c r="AD137" s="16"/>
      <c r="AE137" s="17"/>
      <c r="AF137" s="17">
        <f t="shared" si="6"/>
        <v>0</v>
      </c>
    </row>
    <row r="138" spans="1:32" ht="15.75">
      <c r="A138" s="18">
        <v>2683</v>
      </c>
      <c r="B138" s="19" t="s">
        <v>168</v>
      </c>
      <c r="C138" s="12"/>
      <c r="D138" s="13">
        <v>0</v>
      </c>
      <c r="E138" s="12">
        <v>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>
        <f t="shared" si="7"/>
        <v>0</v>
      </c>
      <c r="AA138" s="14">
        <f t="shared" si="8"/>
        <v>0</v>
      </c>
      <c r="AB138" s="27"/>
      <c r="AC138" s="16"/>
      <c r="AD138" s="16"/>
      <c r="AE138" s="17"/>
      <c r="AF138" s="17">
        <f t="shared" si="6"/>
        <v>0</v>
      </c>
    </row>
    <row r="139" spans="1:32" ht="15.75">
      <c r="A139" s="20">
        <v>2686</v>
      </c>
      <c r="B139" s="21" t="s">
        <v>169</v>
      </c>
      <c r="C139" s="12"/>
      <c r="D139" s="13">
        <v>0</v>
      </c>
      <c r="E139" s="12">
        <v>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>
        <f t="shared" si="7"/>
        <v>0</v>
      </c>
      <c r="AA139" s="14">
        <f t="shared" si="8"/>
        <v>0</v>
      </c>
      <c r="AB139" s="27"/>
      <c r="AC139" s="16"/>
      <c r="AD139" s="16"/>
      <c r="AE139" s="17"/>
      <c r="AF139" s="17">
        <f t="shared" si="6"/>
        <v>0</v>
      </c>
    </row>
    <row r="140" spans="1:32" ht="15.75">
      <c r="A140" s="18">
        <v>2688</v>
      </c>
      <c r="B140" s="19" t="s">
        <v>170</v>
      </c>
      <c r="C140" s="12"/>
      <c r="D140" s="13">
        <v>0</v>
      </c>
      <c r="E140" s="12">
        <v>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>
        <f t="shared" si="7"/>
        <v>0</v>
      </c>
      <c r="AA140" s="14">
        <f t="shared" si="8"/>
        <v>0</v>
      </c>
      <c r="AB140" s="27"/>
      <c r="AC140" s="16"/>
      <c r="AD140" s="16"/>
      <c r="AE140" s="17"/>
      <c r="AF140" s="17">
        <f t="shared" si="6"/>
        <v>0</v>
      </c>
    </row>
    <row r="141" spans="1:32" ht="15.75">
      <c r="A141" s="20">
        <v>2689</v>
      </c>
      <c r="B141" s="21" t="s">
        <v>171</v>
      </c>
      <c r="C141" s="12"/>
      <c r="D141" s="13">
        <v>0</v>
      </c>
      <c r="E141" s="12">
        <v>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>
        <f t="shared" si="7"/>
        <v>0</v>
      </c>
      <c r="AA141" s="14">
        <f t="shared" si="8"/>
        <v>0</v>
      </c>
      <c r="AB141" s="27"/>
      <c r="AC141" s="16"/>
      <c r="AD141" s="16"/>
      <c r="AE141" s="17"/>
      <c r="AF141" s="17">
        <f t="shared" si="6"/>
        <v>0</v>
      </c>
    </row>
    <row r="142" spans="1:32" ht="15.75">
      <c r="A142" s="18">
        <v>2690</v>
      </c>
      <c r="B142" s="19" t="s">
        <v>172</v>
      </c>
      <c r="C142" s="12"/>
      <c r="D142" s="13">
        <v>0</v>
      </c>
      <c r="E142" s="12">
        <v>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>
        <f t="shared" si="7"/>
        <v>0</v>
      </c>
      <c r="AA142" s="14">
        <f t="shared" si="8"/>
        <v>0</v>
      </c>
      <c r="AB142" s="27"/>
      <c r="AC142" s="16"/>
      <c r="AD142" s="16"/>
      <c r="AE142" s="17"/>
      <c r="AF142" s="17">
        <f t="shared" si="6"/>
        <v>0</v>
      </c>
    </row>
    <row r="143" spans="1:32" ht="15.75">
      <c r="A143" s="20">
        <v>2694</v>
      </c>
      <c r="B143" s="21" t="s">
        <v>173</v>
      </c>
      <c r="C143" s="12"/>
      <c r="D143" s="13">
        <v>0</v>
      </c>
      <c r="E143" s="12">
        <v>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>
        <f t="shared" si="7"/>
        <v>0</v>
      </c>
      <c r="AA143" s="14">
        <f t="shared" si="8"/>
        <v>0</v>
      </c>
      <c r="AB143" s="27"/>
      <c r="AC143" s="16"/>
      <c r="AD143" s="16"/>
      <c r="AE143" s="17"/>
      <c r="AF143" s="17">
        <f t="shared" si="6"/>
        <v>0</v>
      </c>
    </row>
    <row r="144" spans="1:32" ht="15.75">
      <c r="A144" s="18">
        <v>2695</v>
      </c>
      <c r="B144" s="19" t="s">
        <v>174</v>
      </c>
      <c r="C144" s="12"/>
      <c r="D144" s="13">
        <v>0</v>
      </c>
      <c r="E144" s="12">
        <v>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>
        <f t="shared" si="7"/>
        <v>0</v>
      </c>
      <c r="AA144" s="14">
        <f t="shared" si="8"/>
        <v>0</v>
      </c>
      <c r="AB144" s="27"/>
      <c r="AC144" s="16"/>
      <c r="AD144" s="16"/>
      <c r="AE144" s="17"/>
      <c r="AF144" s="17">
        <f t="shared" si="6"/>
        <v>0</v>
      </c>
    </row>
    <row r="145" spans="1:32" ht="15.75">
      <c r="A145" s="20">
        <v>2699</v>
      </c>
      <c r="B145" s="21" t="s">
        <v>175</v>
      </c>
      <c r="C145" s="12"/>
      <c r="D145" s="13">
        <v>0</v>
      </c>
      <c r="E145" s="12">
        <v>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f t="shared" si="7"/>
        <v>0</v>
      </c>
      <c r="AA145" s="14">
        <f t="shared" si="8"/>
        <v>0</v>
      </c>
      <c r="AB145" s="27"/>
      <c r="AC145" s="16"/>
      <c r="AD145" s="16"/>
      <c r="AE145" s="17"/>
      <c r="AF145" s="17">
        <f t="shared" si="6"/>
        <v>0</v>
      </c>
    </row>
    <row r="146" spans="1:32" ht="15.75">
      <c r="A146" s="18">
        <v>2700</v>
      </c>
      <c r="B146" s="19" t="s">
        <v>176</v>
      </c>
      <c r="C146" s="12"/>
      <c r="D146" s="13">
        <v>0</v>
      </c>
      <c r="E146" s="12">
        <v>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>
        <f t="shared" si="7"/>
        <v>0</v>
      </c>
      <c r="AA146" s="14">
        <f t="shared" si="8"/>
        <v>0</v>
      </c>
      <c r="AB146" s="27"/>
      <c r="AC146" s="16"/>
      <c r="AD146" s="16"/>
      <c r="AE146" s="17"/>
      <c r="AF146" s="17">
        <f t="shared" si="6"/>
        <v>0</v>
      </c>
    </row>
    <row r="147" spans="1:32" ht="31.5">
      <c r="A147" s="20">
        <v>2249</v>
      </c>
      <c r="B147" s="21" t="s">
        <v>177</v>
      </c>
      <c r="C147" s="12"/>
      <c r="D147" s="13">
        <v>0</v>
      </c>
      <c r="E147" s="12">
        <v>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>
        <f t="shared" si="7"/>
        <v>0</v>
      </c>
      <c r="AA147" s="14">
        <f t="shared" si="8"/>
        <v>0</v>
      </c>
      <c r="AB147" s="28"/>
      <c r="AC147" s="16"/>
      <c r="AD147" s="16"/>
      <c r="AE147" s="17"/>
      <c r="AF147" s="17">
        <f t="shared" si="6"/>
        <v>0</v>
      </c>
    </row>
    <row r="148" spans="1:32" ht="31.5">
      <c r="A148" s="18">
        <v>2256</v>
      </c>
      <c r="B148" s="19" t="s">
        <v>178</v>
      </c>
      <c r="C148" s="12"/>
      <c r="D148" s="13">
        <v>0</v>
      </c>
      <c r="E148" s="12">
        <v>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>
        <f t="shared" si="7"/>
        <v>0</v>
      </c>
      <c r="AA148" s="14">
        <f t="shared" si="8"/>
        <v>0</v>
      </c>
      <c r="AB148" s="27"/>
      <c r="AC148" s="16"/>
      <c r="AD148" s="16"/>
      <c r="AE148" s="17"/>
      <c r="AF148" s="17">
        <f t="shared" si="6"/>
        <v>0</v>
      </c>
    </row>
    <row r="149" spans="1:32" ht="15.75">
      <c r="A149" s="20">
        <v>2261</v>
      </c>
      <c r="B149" s="21" t="s">
        <v>179</v>
      </c>
      <c r="C149" s="12"/>
      <c r="D149" s="13">
        <v>0</v>
      </c>
      <c r="E149" s="12">
        <v>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>
        <f t="shared" si="7"/>
        <v>0</v>
      </c>
      <c r="AA149" s="14">
        <f t="shared" si="8"/>
        <v>0</v>
      </c>
      <c r="AB149" s="27"/>
      <c r="AC149" s="16"/>
      <c r="AD149" s="16"/>
      <c r="AE149" s="17"/>
      <c r="AF149" s="17">
        <f t="shared" si="6"/>
        <v>0</v>
      </c>
    </row>
    <row r="150" spans="1:32" ht="15.75">
      <c r="A150" s="18">
        <v>2976</v>
      </c>
      <c r="B150" s="19" t="s">
        <v>180</v>
      </c>
      <c r="C150" s="12"/>
      <c r="D150" s="13">
        <v>0</v>
      </c>
      <c r="E150" s="12">
        <v>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>
        <f t="shared" si="7"/>
        <v>0</v>
      </c>
      <c r="AA150" s="14">
        <f t="shared" si="8"/>
        <v>0</v>
      </c>
      <c r="AB150" s="27"/>
      <c r="AC150" s="16"/>
      <c r="AD150" s="16"/>
      <c r="AE150" s="17"/>
      <c r="AF150" s="17">
        <f t="shared" si="6"/>
        <v>0</v>
      </c>
    </row>
    <row r="151" spans="1:32" ht="15.75">
      <c r="A151" s="20">
        <v>2701</v>
      </c>
      <c r="B151" s="21" t="s">
        <v>181</v>
      </c>
      <c r="C151" s="12"/>
      <c r="D151" s="13">
        <v>0</v>
      </c>
      <c r="E151" s="12">
        <v>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>
        <f t="shared" si="7"/>
        <v>0</v>
      </c>
      <c r="AA151" s="14">
        <f t="shared" si="8"/>
        <v>0</v>
      </c>
      <c r="AB151" s="27"/>
      <c r="AC151" s="16"/>
      <c r="AD151" s="16"/>
      <c r="AE151" s="17"/>
      <c r="AF151" s="17">
        <f t="shared" si="6"/>
        <v>0</v>
      </c>
    </row>
    <row r="152" spans="1:32" ht="31.5">
      <c r="A152" s="18">
        <v>1802</v>
      </c>
      <c r="B152" s="19" t="s">
        <v>182</v>
      </c>
      <c r="C152" s="12"/>
      <c r="D152" s="13">
        <v>0</v>
      </c>
      <c r="E152" s="12">
        <v>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>
        <f t="shared" si="7"/>
        <v>0</v>
      </c>
      <c r="AA152" s="14">
        <f t="shared" si="8"/>
        <v>0</v>
      </c>
      <c r="AB152" s="27"/>
      <c r="AC152" s="16"/>
      <c r="AD152" s="16"/>
      <c r="AE152" s="17"/>
      <c r="AF152" s="17">
        <f t="shared" si="6"/>
        <v>0</v>
      </c>
    </row>
    <row r="153" spans="1:32" ht="15.75">
      <c r="A153" s="20">
        <v>2737</v>
      </c>
      <c r="B153" s="21" t="s">
        <v>183</v>
      </c>
      <c r="C153" s="12"/>
      <c r="D153" s="13">
        <v>0</v>
      </c>
      <c r="E153" s="12">
        <v>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>
        <f t="shared" si="7"/>
        <v>0</v>
      </c>
      <c r="AA153" s="14">
        <f t="shared" si="8"/>
        <v>0</v>
      </c>
      <c r="AB153" s="27"/>
      <c r="AC153" s="16"/>
      <c r="AD153" s="16"/>
      <c r="AE153" s="17"/>
      <c r="AF153" s="17">
        <f t="shared" si="6"/>
        <v>0</v>
      </c>
    </row>
    <row r="154" spans="1:32" ht="15.75">
      <c r="A154" s="18">
        <v>2702</v>
      </c>
      <c r="B154" s="19" t="s">
        <v>184</v>
      </c>
      <c r="C154" s="12"/>
      <c r="D154" s="13">
        <v>0</v>
      </c>
      <c r="E154" s="12">
        <v>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>
        <f t="shared" si="7"/>
        <v>0</v>
      </c>
      <c r="AA154" s="14">
        <f t="shared" si="8"/>
        <v>0</v>
      </c>
      <c r="AB154" s="27"/>
      <c r="AC154" s="16"/>
      <c r="AD154" s="16"/>
      <c r="AE154" s="17"/>
      <c r="AF154" s="17">
        <f t="shared" si="6"/>
        <v>0</v>
      </c>
    </row>
    <row r="155" spans="1:32" ht="15.75">
      <c r="A155" s="20">
        <v>2265</v>
      </c>
      <c r="B155" s="21" t="s">
        <v>185</v>
      </c>
      <c r="C155" s="12"/>
      <c r="D155" s="13">
        <v>0</v>
      </c>
      <c r="E155" s="12">
        <v>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>
        <f t="shared" si="7"/>
        <v>0</v>
      </c>
      <c r="AA155" s="14">
        <f t="shared" si="8"/>
        <v>0</v>
      </c>
      <c r="AB155" s="27"/>
      <c r="AC155" s="16"/>
      <c r="AD155" s="16"/>
      <c r="AE155" s="17"/>
      <c r="AF155" s="17">
        <f t="shared" si="6"/>
        <v>0</v>
      </c>
    </row>
    <row r="156" spans="1:32" ht="15.75">
      <c r="A156" s="18">
        <v>2266</v>
      </c>
      <c r="B156" s="19" t="s">
        <v>186</v>
      </c>
      <c r="C156" s="12"/>
      <c r="D156" s="13">
        <v>0</v>
      </c>
      <c r="E156" s="12">
        <v>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>
        <f t="shared" si="7"/>
        <v>0</v>
      </c>
      <c r="AA156" s="14">
        <f t="shared" si="8"/>
        <v>0</v>
      </c>
      <c r="AB156" s="27"/>
      <c r="AC156" s="16"/>
      <c r="AD156" s="16"/>
      <c r="AE156" s="17"/>
      <c r="AF156" s="17">
        <f t="shared" si="6"/>
        <v>0</v>
      </c>
    </row>
    <row r="157" spans="1:32" ht="15.75">
      <c r="A157" s="20">
        <v>2267</v>
      </c>
      <c r="B157" s="21" t="s">
        <v>187</v>
      </c>
      <c r="C157" s="12"/>
      <c r="D157" s="13">
        <v>0</v>
      </c>
      <c r="E157" s="12">
        <v>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>
        <f t="shared" si="7"/>
        <v>0</v>
      </c>
      <c r="AA157" s="14">
        <f t="shared" si="8"/>
        <v>0</v>
      </c>
      <c r="AB157" s="27"/>
      <c r="AC157" s="16"/>
      <c r="AD157" s="16"/>
      <c r="AE157" s="17"/>
      <c r="AF157" s="17">
        <f t="shared" si="6"/>
        <v>0</v>
      </c>
    </row>
    <row r="158" spans="1:32" ht="15.75">
      <c r="A158" s="18">
        <v>2268</v>
      </c>
      <c r="B158" s="19" t="s">
        <v>188</v>
      </c>
      <c r="C158" s="12"/>
      <c r="D158" s="13">
        <v>0</v>
      </c>
      <c r="E158" s="12">
        <v>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>
        <f t="shared" si="7"/>
        <v>0</v>
      </c>
      <c r="AA158" s="14">
        <f t="shared" si="8"/>
        <v>0</v>
      </c>
      <c r="AB158" s="27"/>
      <c r="AC158" s="16"/>
      <c r="AD158" s="16"/>
      <c r="AE158" s="17"/>
      <c r="AF158" s="17">
        <f t="shared" si="6"/>
        <v>0</v>
      </c>
    </row>
    <row r="159" spans="1:32" ht="15.75">
      <c r="A159" s="20">
        <v>2270</v>
      </c>
      <c r="B159" s="21" t="s">
        <v>189</v>
      </c>
      <c r="C159" s="12"/>
      <c r="D159" s="13">
        <v>0</v>
      </c>
      <c r="E159" s="12">
        <v>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>
        <f t="shared" si="7"/>
        <v>0</v>
      </c>
      <c r="AA159" s="14">
        <f t="shared" si="8"/>
        <v>0</v>
      </c>
      <c r="AB159" s="27"/>
      <c r="AC159" s="16"/>
      <c r="AD159" s="16"/>
      <c r="AE159" s="17"/>
      <c r="AF159" s="17">
        <f t="shared" si="6"/>
        <v>0</v>
      </c>
    </row>
    <row r="160" spans="1:32" ht="15.75">
      <c r="A160" s="18">
        <v>2273</v>
      </c>
      <c r="B160" s="19" t="s">
        <v>190</v>
      </c>
      <c r="C160" s="12"/>
      <c r="D160" s="13">
        <v>0</v>
      </c>
      <c r="E160" s="12">
        <v>0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>
        <f t="shared" si="7"/>
        <v>0</v>
      </c>
      <c r="AA160" s="14">
        <f t="shared" si="8"/>
        <v>0</v>
      </c>
      <c r="AB160" s="27"/>
      <c r="AC160" s="16"/>
      <c r="AD160" s="16"/>
      <c r="AE160" s="17"/>
      <c r="AF160" s="17">
        <f t="shared" si="6"/>
        <v>0</v>
      </c>
    </row>
    <row r="161" spans="1:32" ht="31.5">
      <c r="A161" s="20">
        <v>2323</v>
      </c>
      <c r="B161" s="21" t="s">
        <v>191</v>
      </c>
      <c r="C161" s="12"/>
      <c r="D161" s="13">
        <v>0</v>
      </c>
      <c r="E161" s="12">
        <v>0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>
        <f t="shared" si="7"/>
        <v>0</v>
      </c>
      <c r="AA161" s="14">
        <f t="shared" si="8"/>
        <v>0</v>
      </c>
      <c r="AB161" s="27"/>
      <c r="AC161" s="16"/>
      <c r="AD161" s="16"/>
      <c r="AE161" s="17"/>
      <c r="AF161" s="17">
        <f t="shared" si="6"/>
        <v>0</v>
      </c>
    </row>
    <row r="162" spans="1:32" ht="31.5">
      <c r="A162" s="18">
        <v>2326</v>
      </c>
      <c r="B162" s="19" t="s">
        <v>192</v>
      </c>
      <c r="C162" s="12"/>
      <c r="D162" s="13">
        <v>0</v>
      </c>
      <c r="E162" s="12">
        <v>0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>
        <f t="shared" si="7"/>
        <v>0</v>
      </c>
      <c r="AA162" s="14">
        <f t="shared" si="8"/>
        <v>0</v>
      </c>
      <c r="AB162" s="27"/>
      <c r="AC162" s="16"/>
      <c r="AD162" s="16"/>
      <c r="AE162" s="17"/>
      <c r="AF162" s="17">
        <f t="shared" si="6"/>
        <v>0</v>
      </c>
    </row>
    <row r="163" spans="1:32" ht="31.5">
      <c r="A163" s="20">
        <v>2329</v>
      </c>
      <c r="B163" s="21" t="s">
        <v>193</v>
      </c>
      <c r="C163" s="12"/>
      <c r="D163" s="13">
        <v>0</v>
      </c>
      <c r="E163" s="12">
        <v>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>
        <f t="shared" si="7"/>
        <v>0</v>
      </c>
      <c r="AA163" s="14">
        <f t="shared" si="8"/>
        <v>0</v>
      </c>
      <c r="AB163" s="27"/>
      <c r="AC163" s="16"/>
      <c r="AD163" s="16"/>
      <c r="AE163" s="17"/>
      <c r="AF163" s="17">
        <f t="shared" si="6"/>
        <v>0</v>
      </c>
    </row>
    <row r="164" spans="1:32" ht="31.5">
      <c r="A164" s="18">
        <v>2331</v>
      </c>
      <c r="B164" s="19" t="s">
        <v>194</v>
      </c>
      <c r="C164" s="12"/>
      <c r="D164" s="13">
        <v>0</v>
      </c>
      <c r="E164" s="12">
        <v>0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>
        <f t="shared" si="7"/>
        <v>0</v>
      </c>
      <c r="AA164" s="14">
        <f t="shared" si="8"/>
        <v>0</v>
      </c>
      <c r="AB164" s="27"/>
      <c r="AC164" s="16"/>
      <c r="AD164" s="16"/>
      <c r="AE164" s="17"/>
      <c r="AF164" s="17">
        <f t="shared" si="6"/>
        <v>0</v>
      </c>
    </row>
    <row r="165" spans="1:32" ht="31.5">
      <c r="A165" s="20">
        <v>2629</v>
      </c>
      <c r="B165" s="21" t="s">
        <v>195</v>
      </c>
      <c r="C165" s="12"/>
      <c r="D165" s="13">
        <v>0</v>
      </c>
      <c r="E165" s="12">
        <v>0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>
        <f t="shared" si="7"/>
        <v>0</v>
      </c>
      <c r="AA165" s="14">
        <f t="shared" si="8"/>
        <v>0</v>
      </c>
      <c r="AB165" s="27"/>
      <c r="AC165" s="16"/>
      <c r="AD165" s="16"/>
      <c r="AE165" s="17"/>
      <c r="AF165" s="17">
        <f t="shared" si="6"/>
        <v>0</v>
      </c>
    </row>
    <row r="166" spans="1:32" ht="31.5">
      <c r="A166" s="18">
        <v>2298</v>
      </c>
      <c r="B166" s="19" t="s">
        <v>196</v>
      </c>
      <c r="C166" s="12"/>
      <c r="D166" s="13">
        <v>0</v>
      </c>
      <c r="E166" s="12">
        <v>0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>
        <f t="shared" si="7"/>
        <v>0</v>
      </c>
      <c r="AA166" s="14">
        <f t="shared" si="8"/>
        <v>0</v>
      </c>
      <c r="AB166" s="27"/>
      <c r="AC166" s="16"/>
      <c r="AD166" s="16"/>
      <c r="AE166" s="17"/>
      <c r="AF166" s="17">
        <f t="shared" si="6"/>
        <v>0</v>
      </c>
    </row>
    <row r="167" spans="1:32" ht="31.5">
      <c r="A167" s="20">
        <v>2308</v>
      </c>
      <c r="B167" s="21" t="s">
        <v>197</v>
      </c>
      <c r="C167" s="12"/>
      <c r="D167" s="13">
        <v>0</v>
      </c>
      <c r="E167" s="12">
        <v>0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>
        <f t="shared" si="7"/>
        <v>0</v>
      </c>
      <c r="AA167" s="14">
        <f t="shared" si="8"/>
        <v>0</v>
      </c>
      <c r="AB167" s="27"/>
      <c r="AC167" s="16"/>
      <c r="AD167" s="16"/>
      <c r="AE167" s="17"/>
      <c r="AF167" s="17">
        <f t="shared" si="6"/>
        <v>0</v>
      </c>
    </row>
    <row r="168" spans="1:32" ht="31.5">
      <c r="A168" s="18">
        <v>2501</v>
      </c>
      <c r="B168" s="19" t="s">
        <v>198</v>
      </c>
      <c r="C168" s="12"/>
      <c r="D168" s="13">
        <v>0</v>
      </c>
      <c r="E168" s="12">
        <v>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>
        <f t="shared" si="7"/>
        <v>0</v>
      </c>
      <c r="AA168" s="14">
        <f t="shared" si="8"/>
        <v>0</v>
      </c>
      <c r="AB168" s="27"/>
      <c r="AC168" s="16"/>
      <c r="AD168" s="16"/>
      <c r="AE168" s="17"/>
      <c r="AF168" s="17">
        <f t="shared" si="6"/>
        <v>0</v>
      </c>
    </row>
    <row r="169" spans="1:32" ht="31.5">
      <c r="A169" s="20">
        <v>2509</v>
      </c>
      <c r="B169" s="21" t="s">
        <v>199</v>
      </c>
      <c r="C169" s="12"/>
      <c r="D169" s="13">
        <v>0</v>
      </c>
      <c r="E169" s="12">
        <v>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>
        <f t="shared" si="7"/>
        <v>0</v>
      </c>
      <c r="AA169" s="14">
        <f t="shared" si="8"/>
        <v>0</v>
      </c>
      <c r="AB169" s="27"/>
      <c r="AC169" s="16"/>
      <c r="AD169" s="16"/>
      <c r="AE169" s="17"/>
      <c r="AF169" s="17">
        <f t="shared" si="6"/>
        <v>0</v>
      </c>
    </row>
    <row r="170" spans="1:32" ht="31.5">
      <c r="A170" s="18">
        <v>2515</v>
      </c>
      <c r="B170" s="19" t="s">
        <v>200</v>
      </c>
      <c r="C170" s="12"/>
      <c r="D170" s="13">
        <v>0</v>
      </c>
      <c r="E170" s="12">
        <v>0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>
        <f t="shared" si="7"/>
        <v>0</v>
      </c>
      <c r="AA170" s="14">
        <f t="shared" si="8"/>
        <v>0</v>
      </c>
      <c r="AB170" s="27"/>
      <c r="AC170" s="16"/>
      <c r="AD170" s="16"/>
      <c r="AE170" s="17"/>
      <c r="AF170" s="17">
        <f t="shared" si="6"/>
        <v>0</v>
      </c>
    </row>
    <row r="171" spans="1:32" ht="47.25">
      <c r="A171" s="20">
        <v>2418</v>
      </c>
      <c r="B171" s="21" t="s">
        <v>201</v>
      </c>
      <c r="C171" s="12"/>
      <c r="D171" s="13">
        <v>0</v>
      </c>
      <c r="E171" s="12">
        <v>0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>
        <f t="shared" si="7"/>
        <v>0</v>
      </c>
      <c r="AA171" s="14">
        <f t="shared" si="8"/>
        <v>0</v>
      </c>
      <c r="AB171" s="27"/>
      <c r="AC171" s="16"/>
      <c r="AD171" s="16"/>
      <c r="AE171" s="17"/>
      <c r="AF171" s="17">
        <f t="shared" si="6"/>
        <v>0</v>
      </c>
    </row>
    <row r="172" spans="1:32" ht="15.75">
      <c r="A172" s="18">
        <v>1994</v>
      </c>
      <c r="B172" s="19" t="s">
        <v>202</v>
      </c>
      <c r="C172" s="12"/>
      <c r="D172" s="13">
        <v>0</v>
      </c>
      <c r="E172" s="12">
        <v>0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>
        <f t="shared" si="7"/>
        <v>0</v>
      </c>
      <c r="AA172" s="14">
        <f t="shared" si="8"/>
        <v>0</v>
      </c>
      <c r="AB172" s="27"/>
      <c r="AC172" s="16"/>
      <c r="AD172" s="16"/>
      <c r="AE172" s="17"/>
      <c r="AF172" s="17">
        <f t="shared" si="6"/>
        <v>0</v>
      </c>
    </row>
    <row r="173" spans="1:32" ht="15.75">
      <c r="A173" s="20">
        <v>3043</v>
      </c>
      <c r="B173" s="21" t="s">
        <v>203</v>
      </c>
      <c r="C173" s="12"/>
      <c r="D173" s="13">
        <v>0</v>
      </c>
      <c r="E173" s="12">
        <v>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>
        <f t="shared" si="7"/>
        <v>0</v>
      </c>
      <c r="AA173" s="14">
        <f t="shared" si="8"/>
        <v>0</v>
      </c>
      <c r="AB173" s="27"/>
      <c r="AC173" s="16"/>
      <c r="AD173" s="16"/>
      <c r="AE173" s="17"/>
      <c r="AF173" s="17">
        <f t="shared" si="6"/>
        <v>0</v>
      </c>
    </row>
    <row r="174" spans="1:32" ht="15.75">
      <c r="A174" s="18">
        <v>2707</v>
      </c>
      <c r="B174" s="19" t="s">
        <v>204</v>
      </c>
      <c r="C174" s="12"/>
      <c r="D174" s="13">
        <v>0</v>
      </c>
      <c r="E174" s="12">
        <v>0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>
        <f t="shared" si="7"/>
        <v>0</v>
      </c>
      <c r="AA174" s="14">
        <f t="shared" si="8"/>
        <v>0</v>
      </c>
      <c r="AB174" s="27"/>
      <c r="AC174" s="16"/>
      <c r="AD174" s="16"/>
      <c r="AE174" s="17"/>
      <c r="AF174" s="17">
        <f t="shared" si="6"/>
        <v>0</v>
      </c>
    </row>
    <row r="175" spans="1:32" ht="15.75">
      <c r="A175" s="20">
        <v>2708</v>
      </c>
      <c r="B175" s="21" t="s">
        <v>205</v>
      </c>
      <c r="C175" s="12"/>
      <c r="D175" s="13">
        <v>0</v>
      </c>
      <c r="E175" s="12">
        <v>0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>
        <f t="shared" si="7"/>
        <v>0</v>
      </c>
      <c r="AA175" s="14">
        <f t="shared" si="8"/>
        <v>0</v>
      </c>
      <c r="AB175" s="27"/>
      <c r="AC175" s="16"/>
      <c r="AD175" s="16"/>
      <c r="AE175" s="17"/>
      <c r="AF175" s="17">
        <f t="shared" si="6"/>
        <v>0</v>
      </c>
    </row>
    <row r="176" spans="1:32" ht="15.75">
      <c r="A176" s="18">
        <v>2856</v>
      </c>
      <c r="B176" s="19" t="s">
        <v>206</v>
      </c>
      <c r="C176" s="12"/>
      <c r="D176" s="13">
        <v>0</v>
      </c>
      <c r="E176" s="12">
        <v>0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>
        <f t="shared" si="7"/>
        <v>0</v>
      </c>
      <c r="AA176" s="14">
        <f t="shared" si="8"/>
        <v>0</v>
      </c>
      <c r="AB176" s="27"/>
      <c r="AC176" s="16"/>
      <c r="AD176" s="16"/>
      <c r="AE176" s="17"/>
      <c r="AF176" s="17">
        <f t="shared" si="6"/>
        <v>0</v>
      </c>
    </row>
    <row r="177" spans="1:32" ht="15.75">
      <c r="A177" s="20">
        <v>2709</v>
      </c>
      <c r="B177" s="21" t="s">
        <v>207</v>
      </c>
      <c r="C177" s="12"/>
      <c r="D177" s="13">
        <v>0</v>
      </c>
      <c r="E177" s="12">
        <v>400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>
        <f t="shared" si="7"/>
        <v>0</v>
      </c>
      <c r="AA177" s="14">
        <f t="shared" si="8"/>
        <v>400</v>
      </c>
      <c r="AB177" s="27"/>
      <c r="AC177" s="16"/>
      <c r="AD177" s="16"/>
      <c r="AE177" s="17"/>
      <c r="AF177" s="17">
        <f t="shared" si="6"/>
        <v>0</v>
      </c>
    </row>
    <row r="178" spans="1:32" ht="15.75">
      <c r="A178" s="18">
        <v>2710</v>
      </c>
      <c r="B178" s="19" t="s">
        <v>208</v>
      </c>
      <c r="C178" s="12"/>
      <c r="D178" s="13">
        <v>0</v>
      </c>
      <c r="E178" s="12">
        <v>400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>
        <f t="shared" si="7"/>
        <v>0</v>
      </c>
      <c r="AA178" s="14">
        <f t="shared" si="8"/>
        <v>400</v>
      </c>
      <c r="AB178" s="27"/>
      <c r="AC178" s="16"/>
      <c r="AD178" s="16"/>
      <c r="AE178" s="17"/>
      <c r="AF178" s="17">
        <f t="shared" si="6"/>
        <v>0</v>
      </c>
    </row>
    <row r="179" spans="1:32" ht="15.75">
      <c r="A179" s="20">
        <v>3065</v>
      </c>
      <c r="B179" s="21" t="s">
        <v>209</v>
      </c>
      <c r="C179" s="12"/>
      <c r="D179" s="13">
        <v>0</v>
      </c>
      <c r="E179" s="12">
        <v>0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>
        <f t="shared" si="7"/>
        <v>0</v>
      </c>
      <c r="AA179" s="14">
        <f t="shared" si="8"/>
        <v>0</v>
      </c>
      <c r="AB179" s="27"/>
      <c r="AC179" s="16"/>
      <c r="AD179" s="16"/>
      <c r="AE179" s="17"/>
      <c r="AF179" s="17">
        <f t="shared" si="6"/>
        <v>0</v>
      </c>
    </row>
    <row r="180" spans="1:32" ht="15.75">
      <c r="A180" s="18">
        <v>2720</v>
      </c>
      <c r="B180" s="19" t="s">
        <v>210</v>
      </c>
      <c r="C180" s="12"/>
      <c r="D180" s="13">
        <v>0</v>
      </c>
      <c r="E180" s="12">
        <v>0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>
        <f t="shared" si="7"/>
        <v>0</v>
      </c>
      <c r="AA180" s="14">
        <f t="shared" si="8"/>
        <v>0</v>
      </c>
      <c r="AB180" s="27"/>
      <c r="AC180" s="16"/>
      <c r="AD180" s="16"/>
      <c r="AE180" s="17"/>
      <c r="AF180" s="17">
        <f t="shared" si="6"/>
        <v>0</v>
      </c>
    </row>
    <row r="181" spans="1:32" ht="15.75">
      <c r="A181" s="20">
        <v>2721</v>
      </c>
      <c r="B181" s="21" t="s">
        <v>211</v>
      </c>
      <c r="C181" s="12"/>
      <c r="D181" s="13">
        <v>0</v>
      </c>
      <c r="E181" s="12">
        <v>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>
        <f t="shared" si="7"/>
        <v>0</v>
      </c>
      <c r="AA181" s="14">
        <f t="shared" si="8"/>
        <v>0</v>
      </c>
      <c r="AB181" s="27"/>
      <c r="AC181" s="16"/>
      <c r="AD181" s="16"/>
      <c r="AE181" s="17"/>
      <c r="AF181" s="17">
        <f t="shared" si="6"/>
        <v>0</v>
      </c>
    </row>
    <row r="182" spans="1:32" ht="15.75">
      <c r="A182" s="18">
        <v>2832</v>
      </c>
      <c r="B182" s="19" t="s">
        <v>212</v>
      </c>
      <c r="C182" s="12"/>
      <c r="D182" s="13">
        <v>0</v>
      </c>
      <c r="E182" s="12">
        <v>0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>
        <f t="shared" si="7"/>
        <v>0</v>
      </c>
      <c r="AA182" s="14">
        <f t="shared" si="8"/>
        <v>0</v>
      </c>
      <c r="AB182" s="27"/>
      <c r="AC182" s="16"/>
      <c r="AD182" s="16"/>
      <c r="AE182" s="17"/>
      <c r="AF182" s="17">
        <f t="shared" si="6"/>
        <v>0</v>
      </c>
    </row>
    <row r="183" spans="1:32" ht="47.25">
      <c r="A183" s="20">
        <v>1738</v>
      </c>
      <c r="B183" s="21" t="s">
        <v>213</v>
      </c>
      <c r="C183" s="12"/>
      <c r="D183" s="13">
        <v>0</v>
      </c>
      <c r="E183" s="12">
        <v>0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>
        <f t="shared" si="7"/>
        <v>0</v>
      </c>
      <c r="AA183" s="14">
        <f t="shared" si="8"/>
        <v>0</v>
      </c>
      <c r="AB183" s="27"/>
      <c r="AC183" s="16"/>
      <c r="AD183" s="16"/>
      <c r="AE183" s="17"/>
      <c r="AF183" s="17">
        <f t="shared" si="6"/>
        <v>0</v>
      </c>
    </row>
    <row r="184" spans="1:32" ht="31.5">
      <c r="A184" s="18">
        <v>1744</v>
      </c>
      <c r="B184" s="19" t="s">
        <v>214</v>
      </c>
      <c r="C184" s="12"/>
      <c r="D184" s="13">
        <v>0</v>
      </c>
      <c r="E184" s="12">
        <v>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>
        <f t="shared" si="7"/>
        <v>0</v>
      </c>
      <c r="AA184" s="14">
        <f t="shared" si="8"/>
        <v>0</v>
      </c>
      <c r="AB184" s="27"/>
      <c r="AC184" s="16"/>
      <c r="AD184" s="16"/>
      <c r="AE184" s="17"/>
      <c r="AF184" s="17">
        <f t="shared" si="6"/>
        <v>0</v>
      </c>
    </row>
    <row r="185" spans="1:32" ht="31.5">
      <c r="A185" s="20">
        <v>1745</v>
      </c>
      <c r="B185" s="21" t="s">
        <v>215</v>
      </c>
      <c r="C185" s="12"/>
      <c r="D185" s="13">
        <v>0</v>
      </c>
      <c r="E185" s="12">
        <v>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>
        <f t="shared" si="7"/>
        <v>0</v>
      </c>
      <c r="AA185" s="14">
        <f t="shared" si="8"/>
        <v>0</v>
      </c>
      <c r="AB185" s="27"/>
      <c r="AC185" s="16"/>
      <c r="AD185" s="16"/>
      <c r="AE185" s="17"/>
      <c r="AF185" s="17">
        <f t="shared" si="6"/>
        <v>0</v>
      </c>
    </row>
    <row r="186" spans="1:32" ht="31.5">
      <c r="A186" s="18">
        <v>1735</v>
      </c>
      <c r="B186" s="19" t="s">
        <v>216</v>
      </c>
      <c r="C186" s="12"/>
      <c r="D186" s="13">
        <v>0</v>
      </c>
      <c r="E186" s="12">
        <v>0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>
        <f t="shared" si="7"/>
        <v>0</v>
      </c>
      <c r="AA186" s="14">
        <f t="shared" si="8"/>
        <v>0</v>
      </c>
      <c r="AB186" s="27"/>
      <c r="AC186" s="16"/>
      <c r="AD186" s="16"/>
      <c r="AE186" s="17"/>
      <c r="AF186" s="17">
        <f t="shared" si="6"/>
        <v>0</v>
      </c>
    </row>
    <row r="187" spans="1:32" ht="31.5">
      <c r="A187" s="20">
        <v>1754</v>
      </c>
      <c r="B187" s="21" t="s">
        <v>217</v>
      </c>
      <c r="C187" s="12"/>
      <c r="D187" s="13">
        <v>0</v>
      </c>
      <c r="E187" s="12">
        <v>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>
        <f t="shared" si="7"/>
        <v>0</v>
      </c>
      <c r="AA187" s="14">
        <f t="shared" si="8"/>
        <v>0</v>
      </c>
      <c r="AB187" s="27"/>
      <c r="AC187" s="16"/>
      <c r="AD187" s="16"/>
      <c r="AE187" s="17"/>
      <c r="AF187" s="17">
        <f t="shared" si="6"/>
        <v>0</v>
      </c>
    </row>
    <row r="188" spans="1:32" ht="31.5">
      <c r="A188" s="18">
        <v>1755</v>
      </c>
      <c r="B188" s="19" t="s">
        <v>218</v>
      </c>
      <c r="C188" s="12"/>
      <c r="D188" s="13">
        <v>0</v>
      </c>
      <c r="E188" s="12">
        <v>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>
        <f t="shared" si="7"/>
        <v>0</v>
      </c>
      <c r="AA188" s="14">
        <f t="shared" si="8"/>
        <v>0</v>
      </c>
      <c r="AB188" s="27"/>
      <c r="AC188" s="16"/>
      <c r="AD188" s="16"/>
      <c r="AE188" s="17"/>
      <c r="AF188" s="17">
        <f t="shared" ref="AF188:AF193" si="9">AE188*AA188</f>
        <v>0</v>
      </c>
    </row>
    <row r="189" spans="1:32" ht="31.5">
      <c r="A189" s="20">
        <v>1756</v>
      </c>
      <c r="B189" s="21" t="s">
        <v>219</v>
      </c>
      <c r="C189" s="12"/>
      <c r="D189" s="13">
        <v>0</v>
      </c>
      <c r="E189" s="12">
        <v>0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>
        <f t="shared" si="7"/>
        <v>0</v>
      </c>
      <c r="AA189" s="14">
        <f t="shared" si="8"/>
        <v>0</v>
      </c>
      <c r="AB189" s="27"/>
      <c r="AC189" s="16"/>
      <c r="AD189" s="16"/>
      <c r="AE189" s="17"/>
      <c r="AF189" s="17">
        <f t="shared" si="9"/>
        <v>0</v>
      </c>
    </row>
    <row r="190" spans="1:32" ht="47.25">
      <c r="A190" s="18">
        <v>1757</v>
      </c>
      <c r="B190" s="19" t="s">
        <v>220</v>
      </c>
      <c r="C190" s="12"/>
      <c r="D190" s="13">
        <v>0</v>
      </c>
      <c r="E190" s="12">
        <v>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>
        <f t="shared" si="7"/>
        <v>0</v>
      </c>
      <c r="AA190" s="14">
        <f t="shared" si="8"/>
        <v>0</v>
      </c>
      <c r="AB190" s="27"/>
      <c r="AC190" s="16"/>
      <c r="AD190" s="16"/>
      <c r="AE190" s="17"/>
      <c r="AF190" s="17">
        <f t="shared" si="9"/>
        <v>0</v>
      </c>
    </row>
    <row r="191" spans="1:32" ht="47.25">
      <c r="A191" s="20">
        <v>1758</v>
      </c>
      <c r="B191" s="21" t="s">
        <v>221</v>
      </c>
      <c r="C191" s="12"/>
      <c r="D191" s="13">
        <v>0</v>
      </c>
      <c r="E191" s="12">
        <v>0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>
        <f t="shared" si="7"/>
        <v>0</v>
      </c>
      <c r="AA191" s="14">
        <f t="shared" si="8"/>
        <v>0</v>
      </c>
      <c r="AB191" s="27"/>
      <c r="AC191" s="16"/>
      <c r="AD191" s="16"/>
      <c r="AE191" s="17"/>
      <c r="AF191" s="17">
        <f t="shared" si="9"/>
        <v>0</v>
      </c>
    </row>
    <row r="192" spans="1:32" ht="47.25">
      <c r="A192" s="18">
        <v>1759</v>
      </c>
      <c r="B192" s="19" t="s">
        <v>222</v>
      </c>
      <c r="C192" s="12"/>
      <c r="D192" s="13">
        <v>0</v>
      </c>
      <c r="E192" s="12">
        <v>0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>
        <f t="shared" si="7"/>
        <v>0</v>
      </c>
      <c r="AA192" s="14">
        <f t="shared" si="8"/>
        <v>0</v>
      </c>
      <c r="AB192" s="27"/>
      <c r="AC192" s="16"/>
      <c r="AD192" s="16"/>
      <c r="AE192" s="17"/>
      <c r="AF192" s="17">
        <f t="shared" si="9"/>
        <v>0</v>
      </c>
    </row>
    <row r="193" spans="1:32" ht="31.5">
      <c r="A193" s="20">
        <v>2714</v>
      </c>
      <c r="B193" s="21" t="s">
        <v>223</v>
      </c>
      <c r="C193" s="12"/>
      <c r="D193" s="13">
        <v>0</v>
      </c>
      <c r="E193" s="12">
        <v>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>
        <f t="shared" si="7"/>
        <v>0</v>
      </c>
      <c r="AA193" s="14">
        <f t="shared" si="8"/>
        <v>0</v>
      </c>
      <c r="AB193" s="27"/>
      <c r="AC193" s="16"/>
      <c r="AD193" s="16"/>
      <c r="AE193" s="17"/>
      <c r="AF193" s="17">
        <f t="shared" si="9"/>
        <v>0</v>
      </c>
    </row>
    <row r="194" spans="1:32" ht="30">
      <c r="A194" s="29">
        <v>3164</v>
      </c>
      <c r="B194" s="30" t="s">
        <v>224</v>
      </c>
      <c r="C194" s="12"/>
      <c r="D194" s="13">
        <v>0</v>
      </c>
      <c r="E194" s="12">
        <v>0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>
        <f t="shared" si="7"/>
        <v>0</v>
      </c>
      <c r="AA194" s="14">
        <f t="shared" si="8"/>
        <v>0</v>
      </c>
      <c r="AB194" s="27"/>
      <c r="AC194" s="16"/>
      <c r="AD194" s="16"/>
      <c r="AE194" s="17"/>
      <c r="AF194" s="17"/>
    </row>
    <row r="195" spans="1:32" ht="31.5">
      <c r="A195" s="18">
        <v>2871</v>
      </c>
      <c r="B195" s="19" t="s">
        <v>225</v>
      </c>
      <c r="C195" s="12"/>
      <c r="D195" s="13">
        <v>0</v>
      </c>
      <c r="E195" s="12">
        <v>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>
        <f t="shared" si="7"/>
        <v>0</v>
      </c>
      <c r="AA195" s="14">
        <f t="shared" si="8"/>
        <v>0</v>
      </c>
      <c r="AB195" s="27"/>
      <c r="AC195" s="16"/>
      <c r="AD195" s="16"/>
      <c r="AE195" s="17"/>
      <c r="AF195" s="17">
        <f t="shared" ref="AF195:AF201" si="10">AE195*AA195</f>
        <v>0</v>
      </c>
    </row>
    <row r="196" spans="1:32" ht="31.5">
      <c r="A196" s="20">
        <v>2870</v>
      </c>
      <c r="B196" s="21" t="s">
        <v>226</v>
      </c>
      <c r="C196" s="12"/>
      <c r="D196" s="13">
        <v>0</v>
      </c>
      <c r="E196" s="12">
        <v>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>
        <f t="shared" si="7"/>
        <v>0</v>
      </c>
      <c r="AA196" s="14">
        <f t="shared" si="8"/>
        <v>0</v>
      </c>
      <c r="AB196" s="27"/>
      <c r="AC196" s="16"/>
      <c r="AD196" s="16"/>
      <c r="AE196" s="17"/>
      <c r="AF196" s="17">
        <f t="shared" si="10"/>
        <v>0</v>
      </c>
    </row>
    <row r="197" spans="1:32" ht="31.5">
      <c r="A197" s="18">
        <v>2718</v>
      </c>
      <c r="B197" s="19" t="s">
        <v>227</v>
      </c>
      <c r="C197" s="12"/>
      <c r="D197" s="13">
        <v>0</v>
      </c>
      <c r="E197" s="12">
        <v>0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>
        <f t="shared" si="7"/>
        <v>0</v>
      </c>
      <c r="AA197" s="14">
        <f t="shared" si="8"/>
        <v>0</v>
      </c>
      <c r="AB197" s="27"/>
      <c r="AC197" s="16"/>
      <c r="AD197" s="16"/>
      <c r="AE197" s="17"/>
      <c r="AF197" s="17">
        <f t="shared" si="10"/>
        <v>0</v>
      </c>
    </row>
    <row r="198" spans="1:32" ht="15.75">
      <c r="A198" s="20">
        <v>2172</v>
      </c>
      <c r="B198" s="21" t="s">
        <v>228</v>
      </c>
      <c r="C198" s="12"/>
      <c r="D198" s="13">
        <v>0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>
        <f t="shared" ref="Z198:Z218" si="11">SUM(F198:Y198)</f>
        <v>0</v>
      </c>
      <c r="AA198" s="14">
        <f t="shared" si="8"/>
        <v>0</v>
      </c>
      <c r="AB198" s="27"/>
      <c r="AC198" s="16"/>
      <c r="AD198" s="16"/>
      <c r="AE198" s="17"/>
      <c r="AF198" s="17">
        <f t="shared" si="10"/>
        <v>0</v>
      </c>
    </row>
    <row r="199" spans="1:32" ht="31.5">
      <c r="A199" s="12">
        <v>2157</v>
      </c>
      <c r="B199" s="21" t="s">
        <v>229</v>
      </c>
      <c r="C199" s="12"/>
      <c r="D199" s="13">
        <v>0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>
        <f t="shared" si="11"/>
        <v>0</v>
      </c>
      <c r="AA199" s="14">
        <f t="shared" ref="AA199:AA218" si="12">(D199+E199)-(F199+G199+H199+I199+J199+K199+L199+M199+N199+O199+P199+Q199+R199+S199+T199+U199+V199+W199+X199+Y199)</f>
        <v>0</v>
      </c>
      <c r="AB199" s="27"/>
      <c r="AC199" s="16"/>
      <c r="AD199" s="16"/>
      <c r="AE199" s="17"/>
      <c r="AF199" s="17">
        <f t="shared" si="10"/>
        <v>0</v>
      </c>
    </row>
    <row r="200" spans="1:32" ht="15.75">
      <c r="A200" s="12">
        <v>3064</v>
      </c>
      <c r="B200" s="31" t="s">
        <v>230</v>
      </c>
      <c r="C200" s="12"/>
      <c r="D200" s="13">
        <v>0</v>
      </c>
      <c r="E200" s="12">
        <v>0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>
        <f t="shared" si="11"/>
        <v>0</v>
      </c>
      <c r="AA200" s="14">
        <f t="shared" si="12"/>
        <v>0</v>
      </c>
      <c r="AB200" s="27"/>
      <c r="AC200" s="16"/>
      <c r="AD200" s="16"/>
      <c r="AE200" s="17"/>
      <c r="AF200" s="17">
        <f t="shared" si="10"/>
        <v>0</v>
      </c>
    </row>
    <row r="201" spans="1:32" ht="15.75">
      <c r="A201" s="12"/>
      <c r="B201" s="31" t="s">
        <v>231</v>
      </c>
      <c r="C201" s="12"/>
      <c r="D201" s="13">
        <v>0</v>
      </c>
      <c r="E201" s="12">
        <v>0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>
        <f t="shared" si="11"/>
        <v>0</v>
      </c>
      <c r="AA201" s="14">
        <f t="shared" si="12"/>
        <v>0</v>
      </c>
      <c r="AB201" s="27"/>
      <c r="AC201" s="16"/>
      <c r="AD201" s="16"/>
      <c r="AE201" s="17"/>
      <c r="AF201" s="17">
        <f t="shared" si="10"/>
        <v>0</v>
      </c>
    </row>
    <row r="202" spans="1:32" ht="15.75">
      <c r="A202" s="12"/>
      <c r="B202" s="32" t="s">
        <v>232</v>
      </c>
      <c r="C202" s="12"/>
      <c r="D202" s="13">
        <v>0</v>
      </c>
      <c r="E202" s="12">
        <v>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>
        <f t="shared" si="11"/>
        <v>0</v>
      </c>
      <c r="AA202" s="14">
        <f t="shared" si="12"/>
        <v>0</v>
      </c>
      <c r="AB202" s="27"/>
      <c r="AC202" s="16"/>
      <c r="AD202" s="16"/>
      <c r="AE202" s="17"/>
      <c r="AF202" s="17"/>
    </row>
    <row r="203" spans="1:32" ht="15.75">
      <c r="A203" s="12"/>
      <c r="B203" s="31" t="s">
        <v>233</v>
      </c>
      <c r="C203" s="12"/>
      <c r="D203" s="13">
        <v>0</v>
      </c>
      <c r="E203" s="12">
        <v>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>
        <f t="shared" si="11"/>
        <v>0</v>
      </c>
      <c r="AA203" s="14">
        <f t="shared" si="12"/>
        <v>0</v>
      </c>
      <c r="AB203" s="27"/>
      <c r="AC203" s="16"/>
      <c r="AD203" s="16"/>
      <c r="AE203" s="17"/>
      <c r="AF203" s="17"/>
    </row>
    <row r="204" spans="1:32" ht="15.75">
      <c r="A204" s="12"/>
      <c r="B204" s="32" t="s">
        <v>234</v>
      </c>
      <c r="C204" s="12"/>
      <c r="D204" s="13">
        <v>0</v>
      </c>
      <c r="E204" s="12">
        <v>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>
        <f t="shared" si="11"/>
        <v>0</v>
      </c>
      <c r="AA204" s="14">
        <f t="shared" si="12"/>
        <v>0</v>
      </c>
      <c r="AB204" s="27"/>
      <c r="AC204" s="16"/>
      <c r="AD204" s="16"/>
      <c r="AE204" s="17"/>
      <c r="AF204" s="17"/>
    </row>
    <row r="205" spans="1:32" ht="15.75">
      <c r="A205" s="18"/>
      <c r="B205" s="31" t="s">
        <v>235</v>
      </c>
      <c r="C205" s="12"/>
      <c r="D205" s="13">
        <v>0</v>
      </c>
      <c r="E205" s="12">
        <v>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>
        <f t="shared" si="11"/>
        <v>0</v>
      </c>
      <c r="AA205" s="14">
        <f t="shared" si="12"/>
        <v>0</v>
      </c>
      <c r="AB205" s="27"/>
      <c r="AC205" s="16"/>
      <c r="AD205" s="16"/>
      <c r="AE205" s="17"/>
      <c r="AF205" s="17">
        <f>AE205*AA205</f>
        <v>0</v>
      </c>
    </row>
    <row r="206" spans="1:32" ht="15.75">
      <c r="A206" s="12"/>
      <c r="B206" s="31" t="s">
        <v>236</v>
      </c>
      <c r="C206" s="12"/>
      <c r="D206" s="13">
        <v>0</v>
      </c>
      <c r="E206" s="12">
        <v>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>
        <f t="shared" si="11"/>
        <v>0</v>
      </c>
      <c r="AA206" s="14">
        <f t="shared" si="12"/>
        <v>0</v>
      </c>
      <c r="AB206" s="27"/>
      <c r="AC206" s="16"/>
      <c r="AD206" s="16"/>
      <c r="AE206" s="17"/>
      <c r="AF206" s="17"/>
    </row>
    <row r="207" spans="1:32" ht="15.75">
      <c r="A207" s="12"/>
      <c r="B207" s="32" t="s">
        <v>237</v>
      </c>
      <c r="C207" s="12"/>
      <c r="D207" s="13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>
        <f t="shared" si="11"/>
        <v>0</v>
      </c>
      <c r="AA207" s="14">
        <f t="shared" si="12"/>
        <v>0</v>
      </c>
      <c r="AB207" s="27"/>
      <c r="AC207" s="16"/>
      <c r="AD207" s="16"/>
      <c r="AE207" s="17"/>
      <c r="AF207" s="17"/>
    </row>
    <row r="208" spans="1:32" ht="15.75">
      <c r="A208" s="12"/>
      <c r="B208" s="31" t="s">
        <v>238</v>
      </c>
      <c r="C208" s="12"/>
      <c r="D208" s="13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>
        <f t="shared" si="11"/>
        <v>0</v>
      </c>
      <c r="AA208" s="14">
        <f t="shared" si="12"/>
        <v>0</v>
      </c>
      <c r="AB208" s="27"/>
      <c r="AC208" s="16"/>
      <c r="AD208" s="16"/>
      <c r="AE208" s="17"/>
      <c r="AF208" s="17"/>
    </row>
    <row r="209" spans="1:32" ht="15.75">
      <c r="A209" s="12"/>
      <c r="B209" s="31" t="s">
        <v>239</v>
      </c>
      <c r="C209" s="12"/>
      <c r="D209" s="13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>
        <f t="shared" si="11"/>
        <v>0</v>
      </c>
      <c r="AA209" s="14">
        <f t="shared" si="12"/>
        <v>0</v>
      </c>
      <c r="AB209" s="27"/>
      <c r="AC209" s="16"/>
      <c r="AD209" s="16"/>
      <c r="AE209" s="17"/>
      <c r="AF209" s="17"/>
    </row>
    <row r="210" spans="1:32" ht="31.5">
      <c r="A210" s="12"/>
      <c r="B210" s="32" t="s">
        <v>240</v>
      </c>
      <c r="C210" s="12"/>
      <c r="D210" s="13">
        <v>0</v>
      </c>
      <c r="E210" s="12">
        <v>0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>
        <f t="shared" si="11"/>
        <v>0</v>
      </c>
      <c r="AA210" s="14">
        <f t="shared" si="12"/>
        <v>0</v>
      </c>
      <c r="AB210" s="27"/>
      <c r="AC210" s="16"/>
      <c r="AD210" s="16"/>
      <c r="AE210" s="17"/>
      <c r="AF210" s="17"/>
    </row>
    <row r="211" spans="1:32" ht="15.75">
      <c r="A211" s="12"/>
      <c r="B211" s="32" t="s">
        <v>241</v>
      </c>
      <c r="C211" s="12"/>
      <c r="D211" s="13">
        <v>0</v>
      </c>
      <c r="E211" s="12">
        <v>0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>
        <f t="shared" si="11"/>
        <v>0</v>
      </c>
      <c r="AA211" s="14">
        <f t="shared" si="12"/>
        <v>0</v>
      </c>
      <c r="AB211" s="27"/>
      <c r="AC211" s="16"/>
      <c r="AD211" s="16"/>
      <c r="AE211" s="17"/>
      <c r="AF211" s="17"/>
    </row>
    <row r="212" spans="1:32" ht="15.75">
      <c r="A212" s="12"/>
      <c r="B212" s="31" t="s">
        <v>242</v>
      </c>
      <c r="C212" s="12"/>
      <c r="D212" s="13">
        <v>0</v>
      </c>
      <c r="E212" s="12">
        <v>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>
        <f t="shared" si="11"/>
        <v>0</v>
      </c>
      <c r="AA212" s="14">
        <f t="shared" si="12"/>
        <v>0</v>
      </c>
      <c r="AB212" s="27"/>
      <c r="AC212" s="16"/>
      <c r="AD212" s="16"/>
      <c r="AE212" s="17"/>
      <c r="AF212" s="17"/>
    </row>
    <row r="213" spans="1:32" ht="15.75">
      <c r="A213" s="12"/>
      <c r="B213" s="33" t="s">
        <v>243</v>
      </c>
      <c r="C213" s="12"/>
      <c r="D213" s="13">
        <v>0</v>
      </c>
      <c r="E213" s="12">
        <v>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>
        <f t="shared" si="11"/>
        <v>0</v>
      </c>
      <c r="AA213" s="14">
        <f t="shared" si="12"/>
        <v>0</v>
      </c>
      <c r="AB213" s="27"/>
      <c r="AC213" s="16"/>
      <c r="AD213" s="16"/>
      <c r="AE213" s="17"/>
      <c r="AF213" s="17"/>
    </row>
    <row r="214" spans="1:32" ht="15.75">
      <c r="A214" s="12"/>
      <c r="B214" s="34" t="s">
        <v>244</v>
      </c>
      <c r="C214" s="12"/>
      <c r="D214" s="13">
        <v>0</v>
      </c>
      <c r="E214" s="12">
        <v>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>
        <f t="shared" si="11"/>
        <v>0</v>
      </c>
      <c r="AA214" s="14">
        <f t="shared" si="12"/>
        <v>0</v>
      </c>
      <c r="AB214" s="27"/>
      <c r="AC214" s="16"/>
      <c r="AD214" s="16"/>
      <c r="AE214" s="17"/>
      <c r="AF214" s="17"/>
    </row>
    <row r="215" spans="1:32" ht="15.75">
      <c r="A215" s="12"/>
      <c r="B215" s="33" t="s">
        <v>245</v>
      </c>
      <c r="C215" s="12"/>
      <c r="D215" s="13">
        <v>0</v>
      </c>
      <c r="E215" s="12">
        <v>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>
        <f t="shared" si="11"/>
        <v>0</v>
      </c>
      <c r="AA215" s="14">
        <f t="shared" si="12"/>
        <v>0</v>
      </c>
      <c r="AB215" s="27"/>
      <c r="AC215" s="27"/>
      <c r="AD215" s="27"/>
      <c r="AE215" s="17"/>
      <c r="AF215" s="17"/>
    </row>
    <row r="216" spans="1:32" ht="15.75">
      <c r="A216" s="12"/>
      <c r="B216" s="34" t="s">
        <v>246</v>
      </c>
      <c r="C216" s="12"/>
      <c r="D216" s="13">
        <v>0</v>
      </c>
      <c r="E216" s="12">
        <v>0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>
        <f t="shared" si="11"/>
        <v>0</v>
      </c>
      <c r="AA216" s="14">
        <f t="shared" si="12"/>
        <v>0</v>
      </c>
      <c r="AB216" s="27"/>
      <c r="AC216" s="27"/>
      <c r="AD216" s="27"/>
      <c r="AE216" s="17"/>
      <c r="AF216" s="17"/>
    </row>
    <row r="217" spans="1:32" ht="15.75">
      <c r="A217" s="12"/>
      <c r="B217" s="33" t="s">
        <v>247</v>
      </c>
      <c r="C217" s="12"/>
      <c r="D217" s="13">
        <v>0</v>
      </c>
      <c r="E217" s="12">
        <v>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>
        <f t="shared" si="11"/>
        <v>0</v>
      </c>
      <c r="AA217" s="14">
        <f t="shared" si="12"/>
        <v>0</v>
      </c>
      <c r="AB217" s="27"/>
      <c r="AC217" s="16"/>
      <c r="AD217" s="16"/>
      <c r="AE217" s="17"/>
      <c r="AF217" s="17"/>
    </row>
    <row r="218" spans="1:32" ht="15.75">
      <c r="A218" s="12"/>
      <c r="B218" s="34" t="s">
        <v>248</v>
      </c>
      <c r="C218" s="12"/>
      <c r="D218" s="13">
        <v>0</v>
      </c>
      <c r="E218" s="12">
        <v>0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>
        <f t="shared" si="11"/>
        <v>0</v>
      </c>
      <c r="AA218" s="14">
        <f t="shared" si="12"/>
        <v>0</v>
      </c>
      <c r="AB218" s="25"/>
      <c r="AC218" s="27"/>
      <c r="AD218" s="27"/>
      <c r="AE218" s="12"/>
      <c r="AF218" s="17"/>
    </row>
    <row r="219" spans="1:32" ht="15.75">
      <c r="A219" s="12"/>
      <c r="B219" s="3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25"/>
      <c r="AC219" s="27"/>
      <c r="AD219" s="27"/>
      <c r="AE219" s="12"/>
      <c r="AF219" s="12"/>
    </row>
    <row r="220" spans="1:32" ht="15.75">
      <c r="A220" s="12"/>
      <c r="B220" s="3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25"/>
      <c r="AC220" s="16"/>
      <c r="AD220" s="16"/>
      <c r="AE220" s="12"/>
      <c r="AF220" s="12"/>
    </row>
    <row r="221" spans="1:32" ht="15.75">
      <c r="A221" s="12"/>
      <c r="B221" s="3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25"/>
      <c r="AC221" s="35"/>
      <c r="AD221" s="35"/>
      <c r="AE221" s="12"/>
      <c r="AF221" s="12"/>
    </row>
    <row r="222" spans="1:32" ht="15.75">
      <c r="A222" s="12"/>
      <c r="B222" s="3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25"/>
      <c r="AC222" s="27"/>
      <c r="AD222" s="27"/>
      <c r="AE222" s="12"/>
      <c r="AF222" s="12"/>
    </row>
    <row r="223" spans="1:32" ht="15.75">
      <c r="A223" s="12"/>
      <c r="B223" s="3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25"/>
      <c r="AC223" s="27"/>
      <c r="AD223" s="27"/>
      <c r="AE223" s="12"/>
      <c r="AF223" s="12"/>
    </row>
  </sheetData>
  <conditionalFormatting sqref="D2:D218">
    <cfRule type="cellIs" dxfId="3" priority="1" operator="between">
      <formula>-1</formula>
      <formula>-999999</formula>
    </cfRule>
  </conditionalFormatting>
  <pageMargins left="0.7" right="0.7" top="0.75" bottom="0.75" header="0.3" footer="0.3"/>
  <pageSetup paperSize="9" scale="64" orientation="portrait" r:id="rId1"/>
  <colBreaks count="1" manualBreakCount="1">
    <brk id="3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DE FACTURAS INGRESO</vt:lpstr>
      <vt:lpstr>SEMAFORO</vt:lpstr>
      <vt:lpstr>DESCARGO AGOSTO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2026-08-25T17:18:37Z</dcterms:created>
  <dcterms:modified xsi:type="dcterms:W3CDTF">2026-08-25T18:33:11Z</dcterms:modified>
</cp:coreProperties>
</file>